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USER\Desktop\stuff\web\CRM CAE\templates\"/>
    </mc:Choice>
  </mc:AlternateContent>
  <xr:revisionPtr revIDLastSave="0" documentId="13_ncr:1_{C3967BA3-545E-4346-9880-B6947664B0A9}" xr6:coauthVersionLast="47" xr6:coauthVersionMax="47" xr10:uidLastSave="{00000000-0000-0000-0000-000000000000}"/>
  <bookViews>
    <workbookView xWindow="-120" yWindow="-120" windowWidth="29040" windowHeight="15720" xr2:uid="{00000000-000D-0000-FFFF-FFFF00000000}"/>
  </bookViews>
  <sheets>
    <sheet name="suivi chantier" sheetId="1" r:id="rId1"/>
    <sheet name="estimation devis" sheetId="2" r:id="rId2"/>
    <sheet name="Devis actuel" sheetId="3" r:id="rId3"/>
  </sheets>
  <definedNames>
    <definedName name="_xlnm._FilterDatabase" localSheetId="0" hidden="1">'suivi chantier'!$A$1:$E$7</definedName>
    <definedName name="Z_EB2A1D5B_713C_4666_81AF_FB92ADEAC89B_.wvu.FilterData" localSheetId="0" hidden="1">'suivi chantier'!$A$1:$E$7</definedName>
    <definedName name="Z_F62B73B1_1F1A_486D_90D1_651B959F68DF_.wvu.FilterData" localSheetId="0" hidden="1">'suivi chantier'!$A$1:$E$7</definedName>
  </definedNames>
  <calcPr calcId="191029"/>
  <customWorkbookViews>
    <customWorkbookView name="Group by Catégorie" guid="{EB2A1D5B-713C-4666-81AF-FB92ADEAC89B}" maximized="1" windowWidth="0" windowHeight="0" activeSheetId="0"/>
    <customWorkbookView name="Group by Date" guid="{F62B73B1-1F1A-486D-90D1-651B959F68DF}" maximized="1" windowWidth="0" windowHeight="0" activeSheetId="0"/>
  </customWorkbookViews>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0" i="3" l="1"/>
  <c r="M8" i="3"/>
  <c r="G7" i="3"/>
  <c r="G8" i="3" s="1"/>
  <c r="M6" i="3"/>
  <c r="G6" i="3"/>
  <c r="M5" i="3"/>
  <c r="G5" i="3"/>
  <c r="M4" i="3"/>
  <c r="G4" i="3"/>
  <c r="M3" i="3"/>
  <c r="G3" i="3"/>
  <c r="E23" i="2"/>
  <c r="E22" i="2"/>
  <c r="E21" i="2"/>
  <c r="E20" i="2"/>
  <c r="E19" i="2"/>
  <c r="E18" i="2"/>
  <c r="E17" i="2"/>
  <c r="E16" i="2"/>
  <c r="C15" i="2"/>
  <c r="E15" i="2" s="1"/>
  <c r="E14" i="2"/>
  <c r="E13" i="2"/>
  <c r="E12" i="2"/>
  <c r="E11" i="2"/>
  <c r="E10" i="2"/>
  <c r="E9" i="2"/>
  <c r="E8" i="2"/>
  <c r="E7" i="2"/>
  <c r="D7" i="2"/>
  <c r="E6" i="2"/>
  <c r="E5" i="2"/>
  <c r="E4" i="2"/>
  <c r="C3" i="1"/>
  <c r="F24" i="2" l="1"/>
  <c r="E24" i="2"/>
  <c r="E14" i="3"/>
  <c r="G11" i="3"/>
  <c r="G9" i="3"/>
  <c r="E26"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15" authorId="0" shapeId="0" xr:uid="{00000000-0006-0000-0100-000001000000}">
      <text>
        <r>
          <rPr>
            <sz val="10"/>
            <color rgb="FF000000"/>
            <rFont val="Arial"/>
            <scheme val="minor"/>
          </rPr>
          <t xml:space="preserve">à rectifier
</t>
        </r>
      </text>
    </comment>
    <comment ref="C19" authorId="0" shapeId="0" xr:uid="{00000000-0006-0000-0100-000002000000}">
      <text>
        <r>
          <rPr>
            <sz val="10"/>
            <color rgb="FF000000"/>
            <rFont val="Arial"/>
            <scheme val="minor"/>
          </rPr>
          <t xml:space="preserve">3 déja achété
</t>
        </r>
      </text>
    </comment>
  </commentList>
</comments>
</file>

<file path=xl/sharedStrings.xml><?xml version="1.0" encoding="utf-8"?>
<sst xmlns="http://schemas.openxmlformats.org/spreadsheetml/2006/main" count="118" uniqueCount="70">
  <si>
    <t>Date</t>
  </si>
  <si>
    <t>Nature</t>
  </si>
  <si>
    <t>Montant</t>
  </si>
  <si>
    <t>Commentaire</t>
  </si>
  <si>
    <t>Catégorie</t>
  </si>
  <si>
    <t>avance</t>
  </si>
  <si>
    <t>Ouvrier</t>
  </si>
  <si>
    <t>marteau pellle etc</t>
  </si>
  <si>
    <t>Divers</t>
  </si>
  <si>
    <t>gravier</t>
  </si>
  <si>
    <t>1mc</t>
  </si>
  <si>
    <t>Matériau</t>
  </si>
  <si>
    <t xml:space="preserve">5 Sac </t>
  </si>
  <si>
    <t>100 Pieces</t>
  </si>
  <si>
    <t>hamza</t>
  </si>
  <si>
    <t xml:space="preserve">ciment colle </t>
  </si>
  <si>
    <t>hammadi</t>
  </si>
  <si>
    <t>ciment</t>
  </si>
  <si>
    <t>Travaux</t>
  </si>
  <si>
    <t>Unité</t>
  </si>
  <si>
    <t>Quantité prévue</t>
  </si>
  <si>
    <t>Cout par u  (estimation)</t>
  </si>
  <si>
    <t>cout</t>
  </si>
  <si>
    <t xml:space="preserve">Acheté </t>
  </si>
  <si>
    <t>Maçon</t>
  </si>
  <si>
    <t>forfait</t>
  </si>
  <si>
    <t>non</t>
  </si>
  <si>
    <t>Electricien</t>
  </si>
  <si>
    <t>Mur placo ext</t>
  </si>
  <si>
    <t>brique 12</t>
  </si>
  <si>
    <t>oui</t>
  </si>
  <si>
    <t>brique 8</t>
  </si>
  <si>
    <t xml:space="preserve">Sable </t>
  </si>
  <si>
    <t>m1</t>
  </si>
  <si>
    <t>rvt bar</t>
  </si>
  <si>
    <t>m2</t>
  </si>
  <si>
    <t>sanitaire</t>
  </si>
  <si>
    <t>revettement toilette</t>
  </si>
  <si>
    <t>m²</t>
  </si>
  <si>
    <t>marbre</t>
  </si>
  <si>
    <t>sac</t>
  </si>
  <si>
    <t>joint rvt</t>
  </si>
  <si>
    <t>packets</t>
  </si>
  <si>
    <t>carrejoint</t>
  </si>
  <si>
    <t>Total depenses</t>
  </si>
  <si>
    <t>Prix vente</t>
  </si>
  <si>
    <t>Gain potentiel</t>
  </si>
  <si>
    <t>Estimation initiale</t>
  </si>
  <si>
    <t>N°</t>
  </si>
  <si>
    <t>Désignation des ouvrages</t>
  </si>
  <si>
    <t>Prix unitaire H.T</t>
  </si>
  <si>
    <t>Prix total H.T</t>
  </si>
  <si>
    <t>Fourniture, fabrication et pose d’une structure métallique galvanisée contreventée destinée à un abri extérieur, comprenant platines d’ancrage, éléments de renfort, fixations mécaniques et tous accessoires nécessaires à la parfaite stabilité de l’ouvrage.
 La structure sera composée de :
 Profilés principaux en acier galvanisé nuance S235JR (nuance la plus couramment utilisée en Tunisie pour les structures légères), section tube carré 40×40×1.35 mm.
 Système treillis / contreventement en acier galvanisé, section tube carré 40×20×1.35 mm.
 Éléments de renfort et platines d’ancrage en acier plat section 30×8 mm.
 Fixations mécaniques par goujons d’ancrage M12 scellés dans la structure porteuse existante, après relevé et validation des supports sur chantier.
 Traitement de finition par application de peinture thermolaquée au four (couleur au choix du client).
 Fourniture et pose de bardage en tôle nervurée, couleur au choix du client, comprenant ossature secondaire, accessoires de pose et finitions périphériques.
 La fixation des panneaux sera réalisée par vis autoforeuses spéciales bardage métallique avec rondelles d’étanchéité.
 L’étanchéité longitudinale et transversale entre panneaux sera assurée par joint silicone adapté aux ouvrages extérieurs.</t>
  </si>
  <si>
    <t>Ens</t>
  </si>
  <si>
    <t>Réalisation d’une nouvelle installation électrique pour la charpente métallique installée, les toilettes aménagées et le bar extérieur, comprenant fourniture et pose de l’ensemble des gaines, câblages, tableaux de protection, disjoncteurs, dispositifs différentiels, boîtes d’encastrement ou en apparent, interrupteurs, prises de courant, points lumineux, mise à la terre, fixations et accessoires nécessaires, y compris cheminement sur bardage et structure métallique, percements, raccordements au tableau existant, essais et mise en service, à l’exception des appliques décoratives fournies par le client, dont seule la pose est incluse, toutes sujétions comprises.</t>
  </si>
  <si>
    <t>Fourniture et pose de revêtement en grès à la masse format 60×60 sous bar extérieur, comprenant fourniture des carreaux, préparation et ragréage du support si nécessaire, réalisation des formes de pente, fourniture et application de ciment-colle adapté à usage extérieur, mise en œuvre avec écarteurs plastiques pour joints de 2 mm, fourniture et réalisation des joints, découpes, ajustements, raccordement au réseau d’évacuation existant, nettoyage final et toutes sujétions comprises.</t>
  </si>
  <si>
    <t>Fourniture et installation de quatre (04) urinoirs type RIA (ou équivalent), y compris accessoires, fixations, supports muraux, siphons, robinetterie temporisée type ECO (ou équivalent), et tous éléments nécessaires au parfait fonctionnement de l’ensemble.
 Les travaux comprennent :
 Alimentation en eau froide par réseau en tubes multicouches, y compris raccords, coudes, tés, vannes d’arrêt et accessoires de pose.
 Mise en place d’un collecteur de distribution pour alimentation indépendante de chaque appareil.
 Évacuation des eaux usées en PVC Ø60 mm, avec raccordement au réseau existant, y compris manchons, coudes, réductions et accessoires.
 Fourniture et pose de séparateurs en aluminium entre urinoirs, fixés mécaniquement avec accessoires adaptés.
 Percements, réservations, scellements, rebouchages et reprises nécessaires.
 Essais d’étanchéité des réseaux EF et EU.
 Réglage, mise en service et vérification du bon écoulement.
 Toutes sujétions de fourniture, pose, ajustement et coordination avec les supports existants comprises.</t>
  </si>
  <si>
    <t>U</t>
  </si>
  <si>
    <t>Fourniture et réalisation de travaux de maçonnerie pour l’aménagement des toilettes et du bar extérieur, comprenant travaux de démolition nécessaires, extraction et évacuation des débris, élévation en briques, mortier de pose, enduits intérieurs et extérieurs, dressage, finitions et nettoyage général du chantier, toutes sujétions comprises.</t>
  </si>
  <si>
    <t>2 500.000</t>
  </si>
  <si>
    <t>Total HT</t>
  </si>
  <si>
    <t>TVA</t>
  </si>
  <si>
    <t>Timbre</t>
  </si>
  <si>
    <t>Total TTC</t>
  </si>
  <si>
    <t xml:space="preserve">exemple 1 </t>
  </si>
  <si>
    <t>exemple 2</t>
  </si>
  <si>
    <t>exemple 3</t>
  </si>
  <si>
    <t>exemple 4</t>
  </si>
  <si>
    <t>exemple 5</t>
  </si>
  <si>
    <t>exemple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</si>
</sst>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5" formatCode="0.000"/>
  </numFmts>
  <fonts count="10">
    <font>
      <sz val="10"/>
      <color rgb="FF000000"/>
      <name val="Arial"/>
      <scheme val="minor"/>
    </font>
    <font>
      <b/>
      <sz val="11"/>
      <color theme="1"/>
      <name val="Calibri"/>
    </font>
    <font>
      <sz val="11"/>
      <color theme="1"/>
      <name val="Calibri"/>
    </font>
    <font>
      <sz val="10"/>
      <color theme="1"/>
      <name val="Arial"/>
    </font>
    <font>
      <sz val="10"/>
      <color theme="1"/>
      <name val="Arial"/>
      <scheme val="minor"/>
    </font>
    <font>
      <sz val="11"/>
      <color rgb="FF000000"/>
      <name val="Calibri"/>
    </font>
    <font>
      <b/>
      <sz val="10"/>
      <color theme="1"/>
      <name val="Arial"/>
      <scheme val="minor"/>
    </font>
    <font>
      <sz val="11"/>
      <color rgb="FF000000"/>
      <name val="&quot;Times New Roman&quot;"/>
    </font>
    <font>
      <b/>
      <sz val="11"/>
      <color rgb="FF000000"/>
      <name val="Calibri"/>
    </font>
    <font>
      <sz val="8"/>
      <name val="Arial"/>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4">
    <xf numFmtId="0" fontId="0" fillId="0" borderId="0" xfId="0" applyFont="1" applyAlignment="1"/>
    <xf numFmtId="0" fontId="3" fillId="0" borderId="0" xfId="0" applyFont="1" applyAlignment="1"/>
    <xf numFmtId="0" fontId="4" fillId="0" borderId="0" xfId="0" applyFont="1" applyAlignment="1"/>
    <xf numFmtId="0" fontId="4" fillId="0" borderId="0" xfId="0" applyFont="1" applyAlignment="1">
      <alignment vertical="center"/>
    </xf>
    <xf numFmtId="4" fontId="3" fillId="0" borderId="0" xfId="0" applyNumberFormat="1" applyFont="1" applyAlignment="1"/>
    <xf numFmtId="0" fontId="5" fillId="0" borderId="0" xfId="0" applyFont="1" applyAlignment="1"/>
    <xf numFmtId="0" fontId="4" fillId="0" borderId="0" xfId="0" applyFont="1" applyAlignment="1">
      <alignment wrapText="1"/>
    </xf>
    <xf numFmtId="0" fontId="4" fillId="0" borderId="0" xfId="0" applyFont="1" applyAlignment="1">
      <alignment horizontal="left" vertical="center" wrapText="1"/>
    </xf>
    <xf numFmtId="0" fontId="1" fillId="0" borderId="0" xfId="0" applyFont="1" applyAlignment="1">
      <alignment horizontal="center" vertical="center"/>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vertical="center"/>
    </xf>
    <xf numFmtId="0" fontId="4" fillId="0" borderId="0" xfId="0" applyFont="1" applyAlignment="1">
      <alignment vertical="center"/>
    </xf>
    <xf numFmtId="0" fontId="4" fillId="0" borderId="0" xfId="0" applyFont="1" applyAlignment="1">
      <alignment vertical="center"/>
    </xf>
    <xf numFmtId="0" fontId="4" fillId="0" borderId="0" xfId="0" applyFont="1" applyAlignment="1">
      <alignment vertical="center" wrapText="1"/>
    </xf>
    <xf numFmtId="0" fontId="6" fillId="0" borderId="0" xfId="0" applyFont="1" applyAlignment="1">
      <alignment vertical="center"/>
    </xf>
    <xf numFmtId="0" fontId="4" fillId="0" borderId="0" xfId="0" applyFont="1" applyAlignment="1">
      <alignment vertical="center"/>
    </xf>
    <xf numFmtId="0" fontId="4" fillId="0" borderId="0" xfId="0" applyFont="1" applyAlignment="1">
      <alignment vertical="center" wrapText="1"/>
    </xf>
    <xf numFmtId="0" fontId="6" fillId="0" borderId="0" xfId="0" applyFont="1" applyAlignment="1">
      <alignment vertical="center"/>
    </xf>
    <xf numFmtId="0" fontId="6" fillId="0" borderId="0" xfId="0" applyFont="1" applyAlignment="1">
      <alignment vertical="center"/>
    </xf>
    <xf numFmtId="165" fontId="4" fillId="0" borderId="0" xfId="0" applyNumberFormat="1" applyFont="1"/>
    <xf numFmtId="0" fontId="5" fillId="0" borderId="0" xfId="0" applyFont="1" applyAlignment="1">
      <alignment wrapText="1"/>
    </xf>
    <xf numFmtId="0" fontId="1" fillId="0" borderId="0" xfId="0" applyFont="1" applyAlignment="1">
      <alignment horizontal="center" vertical="center" wrapText="1"/>
    </xf>
    <xf numFmtId="0" fontId="2" fillId="0" borderId="0" xfId="0" applyFont="1" applyAlignment="1"/>
    <xf numFmtId="0" fontId="1" fillId="0" borderId="0" xfId="0" applyFont="1" applyAlignment="1">
      <alignment horizontal="center"/>
    </xf>
    <xf numFmtId="0" fontId="5" fillId="0" borderId="1" xfId="0" applyFont="1" applyBorder="1" applyAlignment="1">
      <alignment horizontal="right" vertical="center"/>
    </xf>
    <xf numFmtId="0" fontId="7" fillId="0" borderId="1" xfId="0" applyFont="1" applyBorder="1" applyAlignment="1">
      <alignment vertical="center" wrapText="1"/>
    </xf>
    <xf numFmtId="0" fontId="5" fillId="0" borderId="1" xfId="0" applyFont="1" applyBorder="1" applyAlignment="1">
      <alignment vertical="center"/>
    </xf>
    <xf numFmtId="0" fontId="5" fillId="0" borderId="1" xfId="0" applyFont="1" applyBorder="1" applyAlignment="1">
      <alignment horizontal="center" vertical="center"/>
    </xf>
    <xf numFmtId="165" fontId="5" fillId="0" borderId="1" xfId="0" applyNumberFormat="1" applyFont="1" applyBorder="1" applyAlignment="1">
      <alignment horizontal="center" vertical="center"/>
    </xf>
    <xf numFmtId="165" fontId="5" fillId="0" borderId="1" xfId="0" applyNumberFormat="1" applyFont="1" applyBorder="1" applyAlignment="1">
      <alignment vertical="center"/>
    </xf>
    <xf numFmtId="0" fontId="5" fillId="0" borderId="1" xfId="0" applyFont="1" applyBorder="1" applyAlignment="1">
      <alignment horizontal="center"/>
    </xf>
    <xf numFmtId="165" fontId="5" fillId="0" borderId="1" xfId="0" applyNumberFormat="1" applyFont="1" applyBorder="1" applyAlignment="1">
      <alignment horizontal="center"/>
    </xf>
    <xf numFmtId="0" fontId="5" fillId="0" borderId="1" xfId="0" applyFont="1" applyBorder="1" applyAlignment="1">
      <alignment vertical="center" wrapText="1"/>
    </xf>
    <xf numFmtId="0" fontId="5" fillId="0" borderId="0" xfId="0" applyFont="1" applyAlignment="1">
      <alignment horizontal="center"/>
    </xf>
    <xf numFmtId="0" fontId="7" fillId="0" borderId="1" xfId="0" applyFont="1" applyBorder="1" applyAlignment="1">
      <alignment vertical="center"/>
    </xf>
    <xf numFmtId="0" fontId="7" fillId="0" borderId="1" xfId="0" applyFont="1" applyBorder="1" applyAlignment="1">
      <alignment horizontal="center" vertical="center"/>
    </xf>
    <xf numFmtId="0" fontId="5" fillId="0" borderId="0" xfId="0" applyFont="1" applyAlignment="1">
      <alignment horizontal="center"/>
    </xf>
    <xf numFmtId="0" fontId="5" fillId="0" borderId="0" xfId="0" applyFont="1" applyAlignment="1"/>
    <xf numFmtId="0" fontId="5" fillId="0" borderId="0" xfId="0" applyFont="1" applyAlignment="1">
      <alignment wrapText="1"/>
    </xf>
    <xf numFmtId="0" fontId="8" fillId="0" borderId="1" xfId="0" applyFont="1" applyBorder="1" applyAlignment="1"/>
    <xf numFmtId="165" fontId="8" fillId="0" borderId="1" xfId="0" applyNumberFormat="1" applyFont="1" applyBorder="1" applyAlignment="1">
      <alignment vertical="center"/>
    </xf>
    <xf numFmtId="0" fontId="8" fillId="0" borderId="1" xfId="0" applyFont="1" applyBorder="1" applyAlignment="1"/>
    <xf numFmtId="165" fontId="8" fillId="0" borderId="1" xfId="0" applyNumberFormat="1" applyFont="1" applyBorder="1" applyAlignment="1">
      <alignment horizontal="center"/>
    </xf>
    <xf numFmtId="0" fontId="5" fillId="0" borderId="0" xfId="0" applyFont="1" applyAlignment="1"/>
    <xf numFmtId="4" fontId="1" fillId="0" borderId="0" xfId="0" applyNumberFormat="1" applyFont="1" applyAlignment="1">
      <alignment horizontal="center" vertical="center"/>
    </xf>
    <xf numFmtId="0" fontId="3" fillId="0" borderId="0" xfId="0" applyFont="1" applyAlignment="1">
      <alignment horizontal="center" vertical="center"/>
    </xf>
    <xf numFmtId="4" fontId="2" fillId="0" borderId="0" xfId="0" applyNumberFormat="1" applyFont="1" applyAlignment="1">
      <alignment horizontal="center" vertical="center"/>
    </xf>
    <xf numFmtId="0" fontId="2" fillId="0" borderId="0" xfId="0" applyFont="1" applyAlignment="1">
      <alignment horizontal="center" vertical="center"/>
    </xf>
    <xf numFmtId="0" fontId="5" fillId="0" borderId="0" xfId="0" applyFont="1" applyAlignment="1">
      <alignment horizontal="center"/>
    </xf>
    <xf numFmtId="0" fontId="0" fillId="0" borderId="0" xfId="0" applyFont="1" applyAlignment="1"/>
    <xf numFmtId="14" fontId="2" fillId="0" borderId="0" xfId="0" applyNumberFormat="1" applyFont="1" applyAlignment="1">
      <alignment horizontal="center" vertical="center"/>
    </xf>
    <xf numFmtId="14" fontId="3" fillId="0" borderId="0" xfId="0" applyNumberFormat="1" applyFont="1" applyAlignment="1"/>
    <xf numFmtId="14" fontId="0" fillId="0" borderId="0" xfId="0" applyNumberFormat="1" applyFont="1" applyAlignment="1"/>
  </cellXfs>
  <cellStyles count="1">
    <cellStyle name="Normal" xfId="0" builtinId="0"/>
  </cellStyles>
  <dxfs count="21">
    <dxf>
      <numFmt numFmtId="19" formatCode="dd/mm/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CCD9D4"/>
          <bgColor rgb="FFCCD9D4"/>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3">
    <tableStyle name="suivi chantier-style" pivot="0" count="4" xr9:uid="{00000000-0011-0000-FFFF-FFFF00000000}">
      <tableStyleElement type="wholeTable" size="0" dxfId="20"/>
      <tableStyleElement type="headerRow" dxfId="19"/>
      <tableStyleElement type="firstRowStripe" dxfId="18"/>
      <tableStyleElement type="secondRowStripe" dxfId="17"/>
    </tableStyle>
    <tableStyle name="estimation devis-style" pivot="0" count="5" xr9:uid="{00000000-0011-0000-FFFF-FFFF01000000}">
      <tableStyleElement type="wholeTable" size="0" dxfId="16"/>
      <tableStyleElement type="headerRow" dxfId="15"/>
      <tableStyleElement type="totalRow" dxfId="14"/>
      <tableStyleElement type="firstRowStripe" dxfId="13"/>
      <tableStyleElement type="secondRowStripe" dxfId="12"/>
    </tableStyle>
    <tableStyle name="Devis actuel-style" pivot="0" count="4" xr9:uid="{00000000-0011-0000-FFFF-FFFF02000000}">
      <tableStyleElement type="wholeTable" size="0" dxfId="11"/>
      <tableStyleElement type="headerRow" dxfId="10"/>
      <tableStyleElement type="firstRowStripe" dxfId="9"/>
      <tableStyleElement type="secondRowStripe" dxfId="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E7" headerRowDxfId="7" dataDxfId="6" totalsRowDxfId="5">
  <autoFilter ref="A1:E7" xr:uid="{00000000-0009-0000-0100-000001000000}"/>
  <tableColumns count="5">
    <tableColumn id="1" xr3:uid="{00000000-0010-0000-0000-000001000000}" name="Date" dataDxfId="0"/>
    <tableColumn id="2" xr3:uid="{00000000-0010-0000-0000-000002000000}" name="Nature" dataDxfId="4"/>
    <tableColumn id="3" xr3:uid="{00000000-0010-0000-0000-000003000000}" name="Montant" dataDxfId="3"/>
    <tableColumn id="4" xr3:uid="{00000000-0010-0000-0000-000004000000}" name="Commentaire" dataDxfId="2"/>
    <tableColumn id="5" xr3:uid="{00000000-0010-0000-0000-000005000000}" name="Catégorie" dataDxfId="1"/>
  </tableColumns>
  <tableStyleInfo name="suivi chanti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3" displayName="Table3" ref="A3:F24" totalsRowCount="1">
  <tableColumns count="6">
    <tableColumn id="1" xr3:uid="{00000000-0010-0000-0100-000001000000}" name="Travaux" totalsRowLabel="Total depenses"/>
    <tableColumn id="2" xr3:uid="{00000000-0010-0000-0100-000002000000}" name="Unité"/>
    <tableColumn id="3" xr3:uid="{00000000-0010-0000-0100-000003000000}" name="Quantité prévue"/>
    <tableColumn id="4" xr3:uid="{00000000-0010-0000-0100-000004000000}" name="Cout par u  (estimation)"/>
    <tableColumn id="5" xr3:uid="{00000000-0010-0000-0100-000005000000}" name="cout" totalsRowFunction="custom">
      <totalsRowFormula>SUM(Table3[cout])</totalsRowFormula>
    </tableColumn>
    <tableColumn id="6" xr3:uid="{00000000-0010-0000-0100-000006000000}" name="Acheté " totalsRowFunction="custom">
      <totalsRowFormula>SUMIF(Table3[[Acheté ]],"oui",Table3[cout])</totalsRowFormula>
    </tableColumn>
  </tableColumns>
  <tableStyleInfo name="estimation devi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B2:G11">
  <tableColumns count="6">
    <tableColumn id="1" xr3:uid="{00000000-0010-0000-0200-000001000000}" name="N°"/>
    <tableColumn id="2" xr3:uid="{00000000-0010-0000-0200-000002000000}" name="Désignation des ouvrages"/>
    <tableColumn id="3" xr3:uid="{00000000-0010-0000-0200-000003000000}" name="Unité"/>
    <tableColumn id="4" xr3:uid="{00000000-0010-0000-0200-000004000000}" name="Quantité prévue"/>
    <tableColumn id="5" xr3:uid="{00000000-0010-0000-0200-000005000000}" name="Prix unitaire H.T"/>
    <tableColumn id="6" xr3:uid="{00000000-0010-0000-0200-000006000000}" name="Prix total H.T"/>
  </tableColumns>
  <tableStyleInfo name="Devis actuel-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E193"/>
  <sheetViews>
    <sheetView tabSelected="1" workbookViewId="0">
      <selection activeCell="L7" sqref="L7"/>
    </sheetView>
  </sheetViews>
  <sheetFormatPr baseColWidth="10" defaultColWidth="12.5703125" defaultRowHeight="15.75" customHeight="1"/>
  <cols>
    <col min="1" max="1" width="20.42578125" customWidth="1"/>
    <col min="2" max="2" width="16.85546875" customWidth="1"/>
    <col min="3" max="3" width="15.42578125" customWidth="1"/>
    <col min="4" max="4" width="15.85546875" customWidth="1"/>
    <col min="5" max="5" width="16" customWidth="1"/>
    <col min="7" max="7" width="17.42578125" customWidth="1"/>
  </cols>
  <sheetData>
    <row r="1" spans="1:5" ht="22.5" customHeight="1">
      <c r="A1" s="8" t="s">
        <v>0</v>
      </c>
      <c r="B1" s="8" t="s">
        <v>1</v>
      </c>
      <c r="C1" s="45" t="s">
        <v>2</v>
      </c>
      <c r="D1" s="8" t="s">
        <v>3</v>
      </c>
      <c r="E1" s="8" t="s">
        <v>4</v>
      </c>
    </row>
    <row r="2" spans="1:5" ht="22.5" customHeight="1">
      <c r="A2" s="51">
        <v>46091</v>
      </c>
      <c r="B2" s="46" t="s">
        <v>64</v>
      </c>
      <c r="C2" s="47">
        <v>400</v>
      </c>
      <c r="D2" s="46" t="s">
        <v>5</v>
      </c>
      <c r="E2" s="48" t="s">
        <v>6</v>
      </c>
    </row>
    <row r="3" spans="1:5" ht="22.5" customHeight="1">
      <c r="A3" s="51">
        <v>46091</v>
      </c>
      <c r="B3" s="46" t="s">
        <v>65</v>
      </c>
      <c r="C3" s="47">
        <f>76+10</f>
        <v>86</v>
      </c>
      <c r="D3" s="46" t="s">
        <v>7</v>
      </c>
      <c r="E3" s="48" t="s">
        <v>8</v>
      </c>
    </row>
    <row r="4" spans="1:5" ht="22.5" customHeight="1">
      <c r="A4" s="51">
        <v>46091</v>
      </c>
      <c r="B4" s="46" t="s">
        <v>66</v>
      </c>
      <c r="C4" s="47">
        <v>70</v>
      </c>
      <c r="D4" s="46" t="s">
        <v>10</v>
      </c>
      <c r="E4" s="48" t="s">
        <v>11</v>
      </c>
    </row>
    <row r="5" spans="1:5" ht="22.5" customHeight="1">
      <c r="A5" s="51">
        <v>46091</v>
      </c>
      <c r="B5" s="46" t="s">
        <v>67</v>
      </c>
      <c r="C5" s="47">
        <v>50</v>
      </c>
      <c r="D5" s="46" t="s">
        <v>10</v>
      </c>
      <c r="E5" s="48" t="s">
        <v>11</v>
      </c>
    </row>
    <row r="6" spans="1:5" ht="22.5" customHeight="1">
      <c r="A6" s="51">
        <v>46091</v>
      </c>
      <c r="B6" s="46" t="s">
        <v>68</v>
      </c>
      <c r="C6" s="47">
        <v>75</v>
      </c>
      <c r="D6" s="48" t="s">
        <v>12</v>
      </c>
      <c r="E6" s="48" t="s">
        <v>11</v>
      </c>
    </row>
    <row r="7" spans="1:5" ht="22.5" customHeight="1">
      <c r="A7" s="51">
        <v>46091</v>
      </c>
      <c r="B7" s="46" t="s">
        <v>69</v>
      </c>
      <c r="C7" s="47">
        <v>80</v>
      </c>
      <c r="D7" s="48" t="s">
        <v>13</v>
      </c>
      <c r="E7" s="48" t="s">
        <v>11</v>
      </c>
    </row>
    <row r="8" spans="1:5" ht="12.75">
      <c r="A8" s="52"/>
      <c r="B8" s="1"/>
      <c r="C8" s="4"/>
      <c r="D8" s="1"/>
      <c r="E8" s="1"/>
    </row>
    <row r="9" spans="1:5" ht="12.75">
      <c r="A9" s="52"/>
      <c r="B9" s="1"/>
      <c r="C9" s="4"/>
      <c r="D9" s="1"/>
      <c r="E9" s="1"/>
    </row>
    <row r="10" spans="1:5" ht="12.75">
      <c r="A10" s="52"/>
      <c r="B10" s="1"/>
      <c r="C10" s="4"/>
      <c r="D10" s="1"/>
      <c r="E10" s="1"/>
    </row>
    <row r="11" spans="1:5" ht="12.75">
      <c r="A11" s="52"/>
      <c r="B11" s="1"/>
      <c r="C11" s="4"/>
      <c r="D11" s="1"/>
      <c r="E11" s="1"/>
    </row>
    <row r="12" spans="1:5" ht="12.75">
      <c r="A12" s="52"/>
      <c r="B12" s="1"/>
      <c r="C12" s="4"/>
      <c r="D12" s="1"/>
      <c r="E12" s="1"/>
    </row>
    <row r="13" spans="1:5" ht="12.75">
      <c r="A13" s="52"/>
      <c r="B13" s="1"/>
      <c r="C13" s="4"/>
      <c r="D13" s="1"/>
      <c r="E13" s="1"/>
    </row>
    <row r="14" spans="1:5" ht="12.75">
      <c r="A14" s="52"/>
      <c r="B14" s="1"/>
      <c r="C14" s="4"/>
      <c r="D14" s="1"/>
      <c r="E14" s="1"/>
    </row>
    <row r="15" spans="1:5" ht="12.75">
      <c r="A15" s="52"/>
      <c r="B15" s="1"/>
      <c r="C15" s="4"/>
      <c r="D15" s="1"/>
      <c r="E15" s="1"/>
    </row>
    <row r="16" spans="1:5" ht="12.75">
      <c r="A16" s="52"/>
      <c r="B16" s="1"/>
      <c r="C16" s="4"/>
      <c r="D16" s="1"/>
      <c r="E16" s="1"/>
    </row>
    <row r="17" spans="1:5" ht="12.75">
      <c r="A17" s="52"/>
      <c r="B17" s="1"/>
      <c r="C17" s="4"/>
      <c r="D17" s="1"/>
      <c r="E17" s="1"/>
    </row>
    <row r="18" spans="1:5" ht="12.75">
      <c r="A18" s="52"/>
      <c r="B18" s="1"/>
      <c r="C18" s="4"/>
      <c r="D18" s="1"/>
      <c r="E18" s="1"/>
    </row>
    <row r="19" spans="1:5" ht="12.75">
      <c r="A19" s="52"/>
      <c r="B19" s="1"/>
      <c r="C19" s="4"/>
      <c r="D19" s="1"/>
      <c r="E19" s="1"/>
    </row>
    <row r="20" spans="1:5" ht="12.75">
      <c r="A20" s="52"/>
      <c r="B20" s="1"/>
      <c r="C20" s="4"/>
      <c r="D20" s="1"/>
      <c r="E20" s="1"/>
    </row>
    <row r="21" spans="1:5" ht="12.75">
      <c r="A21" s="52"/>
      <c r="B21" s="1"/>
      <c r="C21" s="4"/>
      <c r="D21" s="1"/>
      <c r="E21" s="1"/>
    </row>
    <row r="22" spans="1:5" ht="12.75">
      <c r="A22" s="52"/>
      <c r="B22" s="1"/>
      <c r="C22" s="4"/>
      <c r="D22" s="1"/>
      <c r="E22" s="1"/>
    </row>
    <row r="23" spans="1:5" ht="12.75">
      <c r="A23" s="52"/>
      <c r="B23" s="1"/>
      <c r="C23" s="4"/>
      <c r="D23" s="1"/>
      <c r="E23" s="1"/>
    </row>
    <row r="24" spans="1:5" ht="12.75">
      <c r="A24" s="52"/>
      <c r="B24" s="1"/>
      <c r="C24" s="4"/>
      <c r="D24" s="1"/>
      <c r="E24" s="1"/>
    </row>
    <row r="25" spans="1:5" ht="12.75">
      <c r="A25" s="52"/>
      <c r="B25" s="1"/>
      <c r="C25" s="4"/>
      <c r="D25" s="1"/>
      <c r="E25" s="1"/>
    </row>
    <row r="26" spans="1:5" ht="12.75">
      <c r="A26" s="52"/>
      <c r="B26" s="1"/>
      <c r="C26" s="4"/>
      <c r="D26" s="1"/>
      <c r="E26" s="1"/>
    </row>
    <row r="27" spans="1:5" ht="12.75">
      <c r="A27" s="52"/>
      <c r="B27" s="1"/>
      <c r="C27" s="4"/>
      <c r="D27" s="1"/>
      <c r="E27" s="1"/>
    </row>
    <row r="28" spans="1:5" ht="12.75">
      <c r="A28" s="52"/>
      <c r="B28" s="1"/>
      <c r="C28" s="4"/>
      <c r="D28" s="1"/>
      <c r="E28" s="1"/>
    </row>
    <row r="29" spans="1:5" ht="12.75">
      <c r="A29" s="52"/>
      <c r="B29" s="1"/>
      <c r="C29" s="4"/>
      <c r="D29" s="1"/>
      <c r="E29" s="1"/>
    </row>
    <row r="30" spans="1:5" ht="12.75">
      <c r="A30" s="52"/>
      <c r="B30" s="1"/>
      <c r="C30" s="4"/>
      <c r="D30" s="1"/>
      <c r="E30" s="1"/>
    </row>
    <row r="31" spans="1:5" ht="12.75">
      <c r="A31" s="52"/>
      <c r="B31" s="1"/>
      <c r="C31" s="4"/>
      <c r="D31" s="1"/>
      <c r="E31" s="1"/>
    </row>
    <row r="32" spans="1:5" ht="12.75">
      <c r="A32" s="52"/>
      <c r="B32" s="1"/>
      <c r="C32" s="4"/>
      <c r="D32" s="1"/>
      <c r="E32" s="1"/>
    </row>
    <row r="33" spans="1:5" ht="12.75">
      <c r="A33" s="52"/>
      <c r="B33" s="1"/>
      <c r="C33" s="4"/>
      <c r="D33" s="1"/>
      <c r="E33" s="1"/>
    </row>
    <row r="34" spans="1:5" ht="12.75">
      <c r="A34" s="52"/>
      <c r="B34" s="1"/>
      <c r="C34" s="4"/>
      <c r="D34" s="1"/>
      <c r="E34" s="1"/>
    </row>
    <row r="35" spans="1:5" ht="12.75">
      <c r="A35" s="52"/>
      <c r="B35" s="1"/>
      <c r="C35" s="4"/>
      <c r="D35" s="1"/>
      <c r="E35" s="1"/>
    </row>
    <row r="36" spans="1:5" ht="12.75">
      <c r="A36" s="52"/>
      <c r="B36" s="1"/>
      <c r="C36" s="4"/>
      <c r="D36" s="1"/>
      <c r="E36" s="1"/>
    </row>
    <row r="37" spans="1:5" ht="12.75">
      <c r="A37" s="52"/>
      <c r="B37" s="1"/>
      <c r="C37" s="4"/>
      <c r="D37" s="1"/>
      <c r="E37" s="1"/>
    </row>
    <row r="38" spans="1:5" ht="12.75">
      <c r="A38" s="52"/>
      <c r="B38" s="1"/>
      <c r="C38" s="4"/>
      <c r="D38" s="1"/>
      <c r="E38" s="1"/>
    </row>
    <row r="39" spans="1:5" ht="12.75">
      <c r="A39" s="52"/>
      <c r="B39" s="1"/>
      <c r="C39" s="4"/>
      <c r="D39" s="1"/>
      <c r="E39" s="1"/>
    </row>
    <row r="40" spans="1:5" ht="12.75">
      <c r="A40" s="52"/>
      <c r="B40" s="1"/>
      <c r="C40" s="4"/>
      <c r="D40" s="1"/>
      <c r="E40" s="1"/>
    </row>
    <row r="41" spans="1:5" ht="12.75">
      <c r="A41" s="52"/>
      <c r="B41" s="1"/>
      <c r="C41" s="4"/>
      <c r="D41" s="1"/>
      <c r="E41" s="1"/>
    </row>
    <row r="42" spans="1:5" ht="12.75">
      <c r="A42" s="52"/>
      <c r="B42" s="1"/>
      <c r="C42" s="4"/>
      <c r="D42" s="1"/>
      <c r="E42" s="1"/>
    </row>
    <row r="43" spans="1:5" ht="12.75">
      <c r="A43" s="52"/>
      <c r="B43" s="1"/>
      <c r="C43" s="4"/>
      <c r="D43" s="1"/>
      <c r="E43" s="1"/>
    </row>
    <row r="44" spans="1:5" ht="12.75">
      <c r="A44" s="52"/>
      <c r="B44" s="1"/>
      <c r="C44" s="4"/>
      <c r="D44" s="1"/>
      <c r="E44" s="1"/>
    </row>
    <row r="45" spans="1:5" ht="12.75">
      <c r="A45" s="52"/>
      <c r="B45" s="1"/>
      <c r="C45" s="4"/>
      <c r="D45" s="1"/>
      <c r="E45" s="1"/>
    </row>
    <row r="46" spans="1:5" ht="12.75">
      <c r="A46" s="52"/>
      <c r="B46" s="1"/>
      <c r="C46" s="4"/>
      <c r="D46" s="1"/>
      <c r="E46" s="1"/>
    </row>
    <row r="47" spans="1:5" ht="12.75">
      <c r="A47" s="52"/>
      <c r="B47" s="1"/>
      <c r="C47" s="4"/>
      <c r="D47" s="1"/>
      <c r="E47" s="1"/>
    </row>
    <row r="48" spans="1:5" ht="12.75">
      <c r="A48" s="52"/>
      <c r="B48" s="1"/>
      <c r="C48" s="4"/>
      <c r="D48" s="1"/>
      <c r="E48" s="1"/>
    </row>
    <row r="49" spans="1:5" ht="12.75">
      <c r="A49" s="52"/>
      <c r="B49" s="1"/>
      <c r="C49" s="4"/>
      <c r="D49" s="1"/>
      <c r="E49" s="1"/>
    </row>
    <row r="50" spans="1:5" ht="12.75">
      <c r="A50" s="52"/>
      <c r="B50" s="1"/>
      <c r="C50" s="4"/>
      <c r="D50" s="1"/>
      <c r="E50" s="1"/>
    </row>
    <row r="51" spans="1:5" ht="12.75">
      <c r="A51" s="52"/>
      <c r="B51" s="1"/>
      <c r="C51" s="4"/>
      <c r="D51" s="1"/>
      <c r="E51" s="1"/>
    </row>
    <row r="52" spans="1:5" ht="12.75">
      <c r="A52" s="52"/>
      <c r="B52" s="1"/>
      <c r="C52" s="4"/>
      <c r="D52" s="1"/>
      <c r="E52" s="1"/>
    </row>
    <row r="53" spans="1:5" ht="12.75">
      <c r="A53" s="52"/>
      <c r="B53" s="1"/>
      <c r="C53" s="4"/>
      <c r="D53" s="1"/>
      <c r="E53" s="1"/>
    </row>
    <row r="54" spans="1:5" ht="12.75">
      <c r="A54" s="52"/>
      <c r="B54" s="1"/>
      <c r="C54" s="4"/>
      <c r="D54" s="1"/>
      <c r="E54" s="1"/>
    </row>
    <row r="55" spans="1:5" ht="12.75">
      <c r="A55" s="52"/>
      <c r="B55" s="1"/>
      <c r="C55" s="4"/>
      <c r="D55" s="1"/>
      <c r="E55" s="1"/>
    </row>
    <row r="56" spans="1:5" ht="12.75">
      <c r="A56" s="52"/>
      <c r="B56" s="1"/>
      <c r="C56" s="4"/>
      <c r="D56" s="1"/>
      <c r="E56" s="1"/>
    </row>
    <row r="57" spans="1:5" ht="12.75">
      <c r="A57" s="52"/>
      <c r="B57" s="1"/>
      <c r="C57" s="4"/>
      <c r="D57" s="1"/>
      <c r="E57" s="1"/>
    </row>
    <row r="58" spans="1:5" ht="12.75">
      <c r="A58" s="52"/>
      <c r="B58" s="1"/>
      <c r="C58" s="4"/>
      <c r="D58" s="1"/>
      <c r="E58" s="1"/>
    </row>
    <row r="59" spans="1:5" ht="12.75">
      <c r="A59" s="52"/>
      <c r="B59" s="1"/>
      <c r="C59" s="4"/>
      <c r="D59" s="1"/>
      <c r="E59" s="1"/>
    </row>
    <row r="60" spans="1:5" ht="12.75">
      <c r="A60" s="52"/>
      <c r="B60" s="1"/>
      <c r="C60" s="4"/>
      <c r="D60" s="1"/>
      <c r="E60" s="1"/>
    </row>
    <row r="61" spans="1:5" ht="12.75">
      <c r="A61" s="52"/>
      <c r="B61" s="1"/>
      <c r="C61" s="4"/>
      <c r="D61" s="1"/>
      <c r="E61" s="1"/>
    </row>
    <row r="62" spans="1:5" ht="12.75">
      <c r="A62" s="52"/>
      <c r="B62" s="1"/>
      <c r="C62" s="4"/>
      <c r="D62" s="1"/>
      <c r="E62" s="1"/>
    </row>
    <row r="63" spans="1:5" ht="12.75">
      <c r="A63" s="52"/>
      <c r="B63" s="1"/>
      <c r="C63" s="4"/>
      <c r="D63" s="1"/>
      <c r="E63" s="1"/>
    </row>
    <row r="64" spans="1:5" ht="12.75">
      <c r="A64" s="52"/>
      <c r="B64" s="1"/>
      <c r="C64" s="4"/>
      <c r="D64" s="1"/>
      <c r="E64" s="1"/>
    </row>
    <row r="65" spans="1:5" ht="12.75">
      <c r="A65" s="52"/>
      <c r="B65" s="1"/>
      <c r="C65" s="4"/>
      <c r="D65" s="1"/>
      <c r="E65" s="1"/>
    </row>
    <row r="66" spans="1:5" ht="12.75">
      <c r="A66" s="52"/>
      <c r="B66" s="1"/>
      <c r="C66" s="4"/>
      <c r="D66" s="1"/>
      <c r="E66" s="1"/>
    </row>
    <row r="67" spans="1:5" ht="12.75">
      <c r="A67" s="52"/>
      <c r="B67" s="1"/>
      <c r="C67" s="4"/>
      <c r="D67" s="1"/>
      <c r="E67" s="1"/>
    </row>
    <row r="68" spans="1:5" ht="12.75">
      <c r="A68" s="52"/>
      <c r="B68" s="1"/>
      <c r="C68" s="4"/>
      <c r="D68" s="1"/>
      <c r="E68" s="1"/>
    </row>
    <row r="69" spans="1:5" ht="12.75">
      <c r="A69" s="52"/>
      <c r="B69" s="1"/>
      <c r="C69" s="4"/>
      <c r="D69" s="1"/>
      <c r="E69" s="1"/>
    </row>
    <row r="70" spans="1:5" ht="12.75">
      <c r="A70" s="52"/>
      <c r="B70" s="1"/>
      <c r="C70" s="4"/>
      <c r="D70" s="1"/>
      <c r="E70" s="1"/>
    </row>
    <row r="71" spans="1:5" ht="12.75">
      <c r="A71" s="53"/>
    </row>
    <row r="72" spans="1:5" ht="15.75" customHeight="1">
      <c r="A72" s="53"/>
    </row>
    <row r="73" spans="1:5" ht="15.75" customHeight="1">
      <c r="A73" s="53"/>
    </row>
    <row r="74" spans="1:5" ht="15.75" customHeight="1">
      <c r="A74" s="53"/>
    </row>
    <row r="75" spans="1:5" ht="15.75" customHeight="1">
      <c r="A75" s="53"/>
    </row>
    <row r="76" spans="1:5" ht="15.75" customHeight="1">
      <c r="A76" s="53"/>
    </row>
    <row r="77" spans="1:5" ht="15.75" customHeight="1">
      <c r="A77" s="53"/>
    </row>
    <row r="78" spans="1:5" ht="15.75" customHeight="1">
      <c r="A78" s="53"/>
    </row>
    <row r="79" spans="1:5" ht="15.75" customHeight="1">
      <c r="A79" s="53"/>
    </row>
    <row r="80" spans="1:5" ht="15.75" customHeight="1">
      <c r="A80" s="53"/>
    </row>
    <row r="81" spans="1:1" ht="15.75" customHeight="1">
      <c r="A81" s="53"/>
    </row>
    <row r="82" spans="1:1" ht="15.75" customHeight="1">
      <c r="A82" s="53"/>
    </row>
    <row r="83" spans="1:1" ht="15.75" customHeight="1">
      <c r="A83" s="53"/>
    </row>
    <row r="84" spans="1:1" ht="15.75" customHeight="1">
      <c r="A84" s="53"/>
    </row>
    <row r="85" spans="1:1" ht="15.75" customHeight="1">
      <c r="A85" s="53"/>
    </row>
    <row r="86" spans="1:1" ht="15.75" customHeight="1">
      <c r="A86" s="53"/>
    </row>
    <row r="87" spans="1:1" ht="15.75" customHeight="1">
      <c r="A87" s="53"/>
    </row>
    <row r="88" spans="1:1" ht="15.75" customHeight="1">
      <c r="A88" s="53"/>
    </row>
    <row r="89" spans="1:1" ht="15.75" customHeight="1">
      <c r="A89" s="53"/>
    </row>
    <row r="90" spans="1:1" ht="15.75" customHeight="1">
      <c r="A90" s="53"/>
    </row>
    <row r="91" spans="1:1" ht="15.75" customHeight="1">
      <c r="A91" s="53"/>
    </row>
    <row r="92" spans="1:1" ht="15.75" customHeight="1">
      <c r="A92" s="53"/>
    </row>
    <row r="93" spans="1:1" ht="15.75" customHeight="1">
      <c r="A93" s="53"/>
    </row>
    <row r="94" spans="1:1" ht="15.75" customHeight="1">
      <c r="A94" s="53"/>
    </row>
    <row r="95" spans="1:1" ht="15.75" customHeight="1">
      <c r="A95" s="53"/>
    </row>
    <row r="96" spans="1:1" ht="15.75" customHeight="1">
      <c r="A96" s="53"/>
    </row>
    <row r="97" spans="1:1" ht="15.75" customHeight="1">
      <c r="A97" s="53"/>
    </row>
    <row r="98" spans="1:1" ht="15.75" customHeight="1">
      <c r="A98" s="53"/>
    </row>
    <row r="99" spans="1:1" ht="15.75" customHeight="1">
      <c r="A99" s="53"/>
    </row>
    <row r="100" spans="1:1" ht="15.75" customHeight="1">
      <c r="A100" s="53"/>
    </row>
    <row r="101" spans="1:1" ht="15.75" customHeight="1">
      <c r="A101" s="53"/>
    </row>
    <row r="102" spans="1:1" ht="15.75" customHeight="1">
      <c r="A102" s="53"/>
    </row>
    <row r="103" spans="1:1" ht="15.75" customHeight="1">
      <c r="A103" s="53"/>
    </row>
    <row r="104" spans="1:1" ht="15.75" customHeight="1">
      <c r="A104" s="53"/>
    </row>
    <row r="105" spans="1:1" ht="15.75" customHeight="1">
      <c r="A105" s="53"/>
    </row>
    <row r="106" spans="1:1" ht="15.75" customHeight="1">
      <c r="A106" s="53"/>
    </row>
    <row r="107" spans="1:1" ht="15.75" customHeight="1">
      <c r="A107" s="53"/>
    </row>
    <row r="108" spans="1:1" ht="15.75" customHeight="1">
      <c r="A108" s="53"/>
    </row>
    <row r="109" spans="1:1" ht="15.75" customHeight="1">
      <c r="A109" s="53"/>
    </row>
    <row r="110" spans="1:1" ht="15.75" customHeight="1">
      <c r="A110" s="53"/>
    </row>
    <row r="111" spans="1:1" ht="15.75" customHeight="1">
      <c r="A111" s="53"/>
    </row>
    <row r="112" spans="1:1" ht="15.75" customHeight="1">
      <c r="A112" s="53"/>
    </row>
    <row r="113" spans="1:1" ht="15.75" customHeight="1">
      <c r="A113" s="53"/>
    </row>
    <row r="114" spans="1:1" ht="15.75" customHeight="1">
      <c r="A114" s="53"/>
    </row>
    <row r="115" spans="1:1" ht="15.75" customHeight="1">
      <c r="A115" s="53"/>
    </row>
    <row r="116" spans="1:1" ht="15.75" customHeight="1">
      <c r="A116" s="53"/>
    </row>
    <row r="117" spans="1:1" ht="15.75" customHeight="1">
      <c r="A117" s="53"/>
    </row>
    <row r="118" spans="1:1" ht="15.75" customHeight="1">
      <c r="A118" s="53"/>
    </row>
    <row r="119" spans="1:1" ht="15.75" customHeight="1">
      <c r="A119" s="53"/>
    </row>
    <row r="120" spans="1:1" ht="15.75" customHeight="1">
      <c r="A120" s="53"/>
    </row>
    <row r="121" spans="1:1" ht="15.75" customHeight="1">
      <c r="A121" s="53"/>
    </row>
    <row r="122" spans="1:1" ht="15.75" customHeight="1">
      <c r="A122" s="53"/>
    </row>
    <row r="123" spans="1:1" ht="15.75" customHeight="1">
      <c r="A123" s="53"/>
    </row>
    <row r="124" spans="1:1" ht="15.75" customHeight="1">
      <c r="A124" s="53"/>
    </row>
    <row r="125" spans="1:1" ht="15.75" customHeight="1">
      <c r="A125" s="53"/>
    </row>
    <row r="126" spans="1:1" ht="15.75" customHeight="1">
      <c r="A126" s="53"/>
    </row>
    <row r="127" spans="1:1" ht="15.75" customHeight="1">
      <c r="A127" s="53"/>
    </row>
    <row r="128" spans="1:1" ht="15.75" customHeight="1">
      <c r="A128" s="53"/>
    </row>
    <row r="129" spans="1:1" ht="15.75" customHeight="1">
      <c r="A129" s="53"/>
    </row>
    <row r="130" spans="1:1" ht="15.75" customHeight="1">
      <c r="A130" s="53"/>
    </row>
    <row r="131" spans="1:1" ht="15.75" customHeight="1">
      <c r="A131" s="53"/>
    </row>
    <row r="132" spans="1:1" ht="15.75" customHeight="1">
      <c r="A132" s="53"/>
    </row>
    <row r="133" spans="1:1" ht="15.75" customHeight="1">
      <c r="A133" s="53"/>
    </row>
    <row r="134" spans="1:1" ht="15.75" customHeight="1">
      <c r="A134" s="53"/>
    </row>
    <row r="135" spans="1:1" ht="15.75" customHeight="1">
      <c r="A135" s="53"/>
    </row>
    <row r="136" spans="1:1" ht="15.75" customHeight="1">
      <c r="A136" s="53"/>
    </row>
    <row r="137" spans="1:1" ht="15.75" customHeight="1">
      <c r="A137" s="53"/>
    </row>
    <row r="138" spans="1:1" ht="15.75" customHeight="1">
      <c r="A138" s="53"/>
    </row>
    <row r="139" spans="1:1" ht="15.75" customHeight="1">
      <c r="A139" s="53"/>
    </row>
    <row r="140" spans="1:1" ht="15.75" customHeight="1">
      <c r="A140" s="53"/>
    </row>
    <row r="141" spans="1:1" ht="15.75" customHeight="1">
      <c r="A141" s="53"/>
    </row>
    <row r="142" spans="1:1" ht="15.75" customHeight="1">
      <c r="A142" s="53"/>
    </row>
    <row r="143" spans="1:1" ht="15.75" customHeight="1">
      <c r="A143" s="53"/>
    </row>
    <row r="144" spans="1:1" ht="15.75" customHeight="1">
      <c r="A144" s="53"/>
    </row>
    <row r="145" spans="1:1" ht="15.75" customHeight="1">
      <c r="A145" s="53"/>
    </row>
    <row r="146" spans="1:1" ht="15.75" customHeight="1">
      <c r="A146" s="53"/>
    </row>
    <row r="147" spans="1:1" ht="15.75" customHeight="1">
      <c r="A147" s="53"/>
    </row>
    <row r="148" spans="1:1" ht="15.75" customHeight="1">
      <c r="A148" s="53"/>
    </row>
    <row r="149" spans="1:1" ht="15.75" customHeight="1">
      <c r="A149" s="53"/>
    </row>
    <row r="150" spans="1:1" ht="15.75" customHeight="1">
      <c r="A150" s="53"/>
    </row>
    <row r="151" spans="1:1" ht="15.75" customHeight="1">
      <c r="A151" s="53"/>
    </row>
    <row r="152" spans="1:1" ht="15.75" customHeight="1">
      <c r="A152" s="53"/>
    </row>
    <row r="153" spans="1:1" ht="15.75" customHeight="1">
      <c r="A153" s="53"/>
    </row>
    <row r="154" spans="1:1" ht="15.75" customHeight="1">
      <c r="A154" s="53"/>
    </row>
    <row r="155" spans="1:1" ht="15.75" customHeight="1">
      <c r="A155" s="53"/>
    </row>
    <row r="156" spans="1:1" ht="15.75" customHeight="1">
      <c r="A156" s="53"/>
    </row>
    <row r="157" spans="1:1" ht="15.75" customHeight="1">
      <c r="A157" s="53"/>
    </row>
    <row r="158" spans="1:1" ht="15.75" customHeight="1">
      <c r="A158" s="53"/>
    </row>
    <row r="159" spans="1:1" ht="15.75" customHeight="1">
      <c r="A159" s="53"/>
    </row>
    <row r="160" spans="1:1" ht="15.75" customHeight="1">
      <c r="A160" s="53"/>
    </row>
    <row r="161" spans="1:1" ht="15.75" customHeight="1">
      <c r="A161" s="53"/>
    </row>
    <row r="162" spans="1:1" ht="15.75" customHeight="1">
      <c r="A162" s="53"/>
    </row>
    <row r="163" spans="1:1" ht="15.75" customHeight="1">
      <c r="A163" s="53"/>
    </row>
    <row r="164" spans="1:1" ht="15.75" customHeight="1">
      <c r="A164" s="53"/>
    </row>
    <row r="165" spans="1:1" ht="15.75" customHeight="1">
      <c r="A165" s="53"/>
    </row>
    <row r="166" spans="1:1" ht="15.75" customHeight="1">
      <c r="A166" s="53"/>
    </row>
    <row r="167" spans="1:1" ht="15.75" customHeight="1">
      <c r="A167" s="53"/>
    </row>
    <row r="168" spans="1:1" ht="15.75" customHeight="1">
      <c r="A168" s="53"/>
    </row>
    <row r="169" spans="1:1" ht="15.75" customHeight="1">
      <c r="A169" s="53"/>
    </row>
    <row r="170" spans="1:1" ht="15.75" customHeight="1">
      <c r="A170" s="53"/>
    </row>
    <row r="171" spans="1:1" ht="15.75" customHeight="1">
      <c r="A171" s="53"/>
    </row>
    <row r="172" spans="1:1" ht="15.75" customHeight="1">
      <c r="A172" s="53"/>
    </row>
    <row r="173" spans="1:1" ht="15.75" customHeight="1">
      <c r="A173" s="53"/>
    </row>
    <row r="174" spans="1:1" ht="15.75" customHeight="1">
      <c r="A174" s="53"/>
    </row>
    <row r="175" spans="1:1" ht="15.75" customHeight="1">
      <c r="A175" s="53"/>
    </row>
    <row r="176" spans="1:1" ht="15.75" customHeight="1">
      <c r="A176" s="53"/>
    </row>
    <row r="177" spans="1:1" ht="15.75" customHeight="1">
      <c r="A177" s="53"/>
    </row>
    <row r="178" spans="1:1" ht="15.75" customHeight="1">
      <c r="A178" s="53"/>
    </row>
    <row r="179" spans="1:1" ht="15.75" customHeight="1">
      <c r="A179" s="53"/>
    </row>
    <row r="180" spans="1:1" ht="15.75" customHeight="1">
      <c r="A180" s="53"/>
    </row>
    <row r="181" spans="1:1" ht="15.75" customHeight="1">
      <c r="A181" s="53"/>
    </row>
    <row r="182" spans="1:1" ht="15.75" customHeight="1">
      <c r="A182" s="53"/>
    </row>
    <row r="183" spans="1:1" ht="15.75" customHeight="1">
      <c r="A183" s="53"/>
    </row>
    <row r="184" spans="1:1" ht="15.75" customHeight="1">
      <c r="A184" s="53"/>
    </row>
    <row r="185" spans="1:1" ht="15.75" customHeight="1">
      <c r="A185" s="53"/>
    </row>
    <row r="186" spans="1:1" ht="15.75" customHeight="1">
      <c r="A186" s="53"/>
    </row>
    <row r="187" spans="1:1" ht="15.75" customHeight="1">
      <c r="A187" s="53"/>
    </row>
    <row r="188" spans="1:1" ht="15.75" customHeight="1">
      <c r="A188" s="53"/>
    </row>
    <row r="189" spans="1:1" ht="15.75" customHeight="1">
      <c r="A189" s="53"/>
    </row>
    <row r="190" spans="1:1" ht="15.75" customHeight="1">
      <c r="A190" s="53"/>
    </row>
    <row r="191" spans="1:1" ht="15.75" customHeight="1">
      <c r="A191" s="53"/>
    </row>
    <row r="192" spans="1:1" ht="15.75" customHeight="1">
      <c r="A192" s="53"/>
    </row>
    <row r="193" spans="1:1" ht="15.75" customHeight="1">
      <c r="A193" s="53"/>
    </row>
  </sheetData>
  <customSheetViews>
    <customSheetView guid="{EB2A1D5B-713C-4666-81AF-FB92ADEAC89B}" filter="1" showAutoFilter="1">
      <pageMargins left="0.7" right="0.7" top="0.75" bottom="0.75" header="0.3" footer="0.3"/>
      <autoFilter ref="A15:E50" xr:uid="{36F8B0F6-60CD-40CA-8DE2-F03C47AC44A3}">
        <sortState xmlns:xlrd2="http://schemas.microsoft.com/office/spreadsheetml/2017/richdata2" ref="A15:E50">
          <sortCondition ref="B15:B50"/>
        </sortState>
      </autoFilter>
    </customSheetView>
    <customSheetView guid="{F62B73B1-1F1A-486D-90D1-651B959F68DF}" filter="1" showAutoFilter="1">
      <pageMargins left="0.7" right="0.7" top="0.75" bottom="0.75" header="0.3" footer="0.3"/>
      <autoFilter ref="A15:E50" xr:uid="{CDD07D98-51AD-4782-86B8-2AD65FA29937}"/>
    </customSheetView>
  </customSheetViews>
  <phoneticPr fontId="9" type="noConversion"/>
  <dataValidations count="3">
    <dataValidation type="custom" allowBlank="1" showDropDown="1" sqref="A2:A7" xr:uid="{00000000-0002-0000-0000-000000000000}">
      <formula1>OR(NOT(ISERROR(DATEVALUE(A2))), AND(ISNUMBER(A2), LEFT(CELL("format", A2))="D"))</formula1>
    </dataValidation>
    <dataValidation type="custom" allowBlank="1" showDropDown="1" sqref="C2:C7" xr:uid="{00000000-0002-0000-0000-000002000000}">
      <formula1>AND(ISNUMBER(C2),(NOT(OR(NOT(ISERROR(DATEVALUE(C2))), AND(ISNUMBER(C2), LEFT(CELL("format", C2))="D")))))</formula1>
    </dataValidation>
    <dataValidation type="list" allowBlank="1" showErrorMessage="1" sqref="E2:E70" xr:uid="{00000000-0002-0000-0000-000001000000}">
      <formula1>"Matériau,Ouvrier,Divers"</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P1011"/>
  <sheetViews>
    <sheetView workbookViewId="0"/>
  </sheetViews>
  <sheetFormatPr baseColWidth="10" defaultColWidth="12.5703125" defaultRowHeight="15.75" customHeight="1"/>
  <cols>
    <col min="1" max="1" width="15.85546875" customWidth="1"/>
    <col min="2" max="2" width="9.5703125" customWidth="1"/>
    <col min="3" max="3" width="28.28515625" customWidth="1"/>
    <col min="4" max="4" width="23.42578125" customWidth="1"/>
    <col min="5" max="5" width="15.42578125" customWidth="1"/>
    <col min="6" max="6" width="14.42578125" customWidth="1"/>
    <col min="7" max="7" width="18.42578125" customWidth="1"/>
  </cols>
  <sheetData>
    <row r="1" spans="1:16" ht="15">
      <c r="A1" s="5"/>
      <c r="H1" s="5"/>
      <c r="I1" s="5"/>
      <c r="J1" s="5"/>
      <c r="K1" s="5"/>
      <c r="L1" s="5"/>
      <c r="M1" s="5"/>
      <c r="N1" s="5"/>
      <c r="O1" s="5"/>
      <c r="P1" s="5"/>
    </row>
    <row r="2" spans="1:16" ht="15">
      <c r="C2" s="6"/>
      <c r="H2" s="5"/>
      <c r="I2" s="5"/>
      <c r="J2" s="5"/>
      <c r="K2" s="5"/>
      <c r="L2" s="5"/>
      <c r="M2" s="5"/>
      <c r="N2" s="5"/>
      <c r="O2" s="5"/>
      <c r="P2" s="5"/>
    </row>
    <row r="3" spans="1:16" ht="22.5" customHeight="1">
      <c r="A3" s="7" t="s">
        <v>18</v>
      </c>
      <c r="B3" s="8" t="s">
        <v>19</v>
      </c>
      <c r="C3" s="8" t="s">
        <v>20</v>
      </c>
      <c r="D3" s="8" t="s">
        <v>21</v>
      </c>
      <c r="E3" s="8" t="s">
        <v>22</v>
      </c>
      <c r="F3" s="9" t="s">
        <v>23</v>
      </c>
    </row>
    <row r="4" spans="1:16" ht="22.5" customHeight="1">
      <c r="A4" s="10" t="s">
        <v>24</v>
      </c>
      <c r="B4" s="3" t="s">
        <v>25</v>
      </c>
      <c r="C4" s="11">
        <v>1</v>
      </c>
      <c r="D4" s="3">
        <v>1700</v>
      </c>
      <c r="E4" s="12">
        <f t="shared" ref="E4:E23" si="0">C4*D4</f>
        <v>1700</v>
      </c>
      <c r="F4" s="13" t="s">
        <v>26</v>
      </c>
    </row>
    <row r="5" spans="1:16" ht="22.5" customHeight="1">
      <c r="A5" s="3" t="s">
        <v>14</v>
      </c>
      <c r="B5" s="3" t="s">
        <v>25</v>
      </c>
      <c r="C5" s="11">
        <v>1</v>
      </c>
      <c r="D5" s="3">
        <v>600</v>
      </c>
      <c r="E5" s="12">
        <f t="shared" si="0"/>
        <v>600</v>
      </c>
      <c r="F5" s="13" t="s">
        <v>26</v>
      </c>
    </row>
    <row r="6" spans="1:16" ht="22.5" customHeight="1">
      <c r="A6" s="3" t="s">
        <v>27</v>
      </c>
      <c r="B6" s="3" t="s">
        <v>25</v>
      </c>
      <c r="C6" s="11">
        <v>1</v>
      </c>
      <c r="D6" s="3">
        <v>1000</v>
      </c>
      <c r="E6" s="12">
        <f t="shared" si="0"/>
        <v>1000</v>
      </c>
      <c r="F6" s="13" t="s">
        <v>26</v>
      </c>
    </row>
    <row r="7" spans="1:16" ht="22.5" customHeight="1">
      <c r="A7" s="3" t="s">
        <v>8</v>
      </c>
      <c r="B7" s="3" t="s">
        <v>19</v>
      </c>
      <c r="C7" s="11">
        <v>1</v>
      </c>
      <c r="D7" s="3">
        <f>500-$D$11</f>
        <v>499.2</v>
      </c>
      <c r="E7" s="12">
        <f t="shared" si="0"/>
        <v>499.2</v>
      </c>
      <c r="F7" s="13" t="s">
        <v>26</v>
      </c>
    </row>
    <row r="8" spans="1:16" ht="22.5" customHeight="1">
      <c r="A8" s="3" t="s">
        <v>28</v>
      </c>
      <c r="B8" s="3" t="s">
        <v>19</v>
      </c>
      <c r="C8" s="11">
        <v>1</v>
      </c>
      <c r="D8" s="3">
        <v>700</v>
      </c>
      <c r="E8" s="12">
        <f t="shared" si="0"/>
        <v>700</v>
      </c>
      <c r="F8" s="13" t="s">
        <v>26</v>
      </c>
    </row>
    <row r="9" spans="1:16" ht="22.5" customHeight="1">
      <c r="A9" s="3" t="s">
        <v>16</v>
      </c>
      <c r="B9" s="3" t="s">
        <v>25</v>
      </c>
      <c r="C9" s="11">
        <v>1</v>
      </c>
      <c r="D9" s="3">
        <v>500</v>
      </c>
      <c r="E9" s="12">
        <f t="shared" si="0"/>
        <v>500</v>
      </c>
      <c r="F9" s="13" t="s">
        <v>26</v>
      </c>
    </row>
    <row r="10" spans="1:16" ht="22.5" customHeight="1">
      <c r="A10" s="10" t="s">
        <v>29</v>
      </c>
      <c r="B10" s="3" t="s">
        <v>19</v>
      </c>
      <c r="C10" s="11">
        <v>50</v>
      </c>
      <c r="D10" s="3">
        <v>0.8</v>
      </c>
      <c r="E10" s="12">
        <f t="shared" si="0"/>
        <v>40</v>
      </c>
      <c r="F10" s="13" t="s">
        <v>30</v>
      </c>
    </row>
    <row r="11" spans="1:16" ht="22.5" customHeight="1">
      <c r="A11" s="10" t="s">
        <v>31</v>
      </c>
      <c r="B11" s="3" t="s">
        <v>19</v>
      </c>
      <c r="C11" s="11">
        <v>100</v>
      </c>
      <c r="D11" s="3">
        <v>0.8</v>
      </c>
      <c r="E11" s="12">
        <f t="shared" si="0"/>
        <v>80</v>
      </c>
      <c r="F11" s="13" t="s">
        <v>30</v>
      </c>
    </row>
    <row r="12" spans="1:16" ht="22.5" customHeight="1">
      <c r="A12" s="3" t="s">
        <v>17</v>
      </c>
      <c r="B12" s="3" t="s">
        <v>19</v>
      </c>
      <c r="C12" s="11">
        <v>5</v>
      </c>
      <c r="D12" s="3">
        <v>15</v>
      </c>
      <c r="E12" s="12">
        <f t="shared" si="0"/>
        <v>75</v>
      </c>
      <c r="F12" s="13" t="s">
        <v>30</v>
      </c>
    </row>
    <row r="13" spans="1:16" ht="22.5" customHeight="1">
      <c r="A13" s="3" t="s">
        <v>32</v>
      </c>
      <c r="B13" s="3" t="s">
        <v>33</v>
      </c>
      <c r="C13" s="11">
        <v>1</v>
      </c>
      <c r="D13" s="3">
        <v>60</v>
      </c>
      <c r="E13" s="12">
        <f t="shared" si="0"/>
        <v>60</v>
      </c>
      <c r="F13" s="13" t="s">
        <v>30</v>
      </c>
    </row>
    <row r="14" spans="1:16" ht="22.5" customHeight="1">
      <c r="A14" s="3" t="s">
        <v>9</v>
      </c>
      <c r="B14" s="3" t="s">
        <v>33</v>
      </c>
      <c r="C14" s="14">
        <v>1</v>
      </c>
      <c r="D14" s="3">
        <v>70</v>
      </c>
      <c r="E14" s="12">
        <f t="shared" si="0"/>
        <v>70</v>
      </c>
      <c r="F14" s="13" t="s">
        <v>30</v>
      </c>
    </row>
    <row r="15" spans="1:16" ht="22.5" customHeight="1">
      <c r="A15" s="3" t="s">
        <v>34</v>
      </c>
      <c r="B15" s="3" t="s">
        <v>35</v>
      </c>
      <c r="C15" s="14">
        <f>6*8*0.4*0.4</f>
        <v>7.6800000000000015</v>
      </c>
      <c r="D15" s="3">
        <v>43.7</v>
      </c>
      <c r="E15" s="12">
        <f t="shared" si="0"/>
        <v>335.6160000000001</v>
      </c>
      <c r="F15" s="13" t="s">
        <v>30</v>
      </c>
    </row>
    <row r="16" spans="1:16" ht="22.5" customHeight="1">
      <c r="A16" s="3" t="s">
        <v>36</v>
      </c>
      <c r="B16" s="3" t="s">
        <v>25</v>
      </c>
      <c r="C16" s="11">
        <v>1</v>
      </c>
      <c r="D16" s="3">
        <v>981</v>
      </c>
      <c r="E16" s="12">
        <f t="shared" si="0"/>
        <v>981</v>
      </c>
      <c r="F16" s="13" t="s">
        <v>30</v>
      </c>
    </row>
    <row r="17" spans="1:6" ht="22.5" customHeight="1">
      <c r="A17" s="10" t="s">
        <v>37</v>
      </c>
      <c r="B17" s="3" t="s">
        <v>38</v>
      </c>
      <c r="C17" s="11">
        <v>22</v>
      </c>
      <c r="D17" s="3">
        <v>19</v>
      </c>
      <c r="E17" s="12">
        <f t="shared" si="0"/>
        <v>418</v>
      </c>
      <c r="F17" s="13" t="s">
        <v>30</v>
      </c>
    </row>
    <row r="18" spans="1:6" ht="22.5" customHeight="1">
      <c r="A18" s="3" t="s">
        <v>39</v>
      </c>
      <c r="B18" s="3" t="s">
        <v>19</v>
      </c>
      <c r="C18" s="11">
        <v>1</v>
      </c>
      <c r="D18" s="3">
        <v>107</v>
      </c>
      <c r="E18" s="12">
        <f t="shared" si="0"/>
        <v>107</v>
      </c>
      <c r="F18" s="13" t="s">
        <v>30</v>
      </c>
    </row>
    <row r="19" spans="1:6" ht="22.5" customHeight="1">
      <c r="A19" s="3" t="s">
        <v>15</v>
      </c>
      <c r="B19" s="3" t="s">
        <v>40</v>
      </c>
      <c r="C19" s="14">
        <v>6</v>
      </c>
      <c r="D19" s="3">
        <v>16</v>
      </c>
      <c r="E19" s="12">
        <f t="shared" si="0"/>
        <v>96</v>
      </c>
      <c r="F19" s="13" t="s">
        <v>30</v>
      </c>
    </row>
    <row r="20" spans="1:6" ht="22.5" customHeight="1">
      <c r="A20" s="3" t="s">
        <v>15</v>
      </c>
      <c r="B20" s="3" t="s">
        <v>40</v>
      </c>
      <c r="C20" s="14">
        <v>1</v>
      </c>
      <c r="D20" s="3">
        <v>22</v>
      </c>
      <c r="E20" s="12">
        <f t="shared" si="0"/>
        <v>22</v>
      </c>
      <c r="F20" s="13" t="s">
        <v>30</v>
      </c>
    </row>
    <row r="21" spans="1:6" ht="22.5" customHeight="1">
      <c r="A21" s="3" t="s">
        <v>15</v>
      </c>
      <c r="B21" s="3" t="s">
        <v>40</v>
      </c>
      <c r="C21" s="14">
        <v>2</v>
      </c>
      <c r="D21" s="3">
        <v>12</v>
      </c>
      <c r="E21" s="12">
        <f t="shared" si="0"/>
        <v>24</v>
      </c>
      <c r="F21" s="13" t="s">
        <v>30</v>
      </c>
    </row>
    <row r="22" spans="1:6" ht="22.5" customHeight="1">
      <c r="A22" s="3" t="s">
        <v>41</v>
      </c>
      <c r="B22" s="3" t="s">
        <v>42</v>
      </c>
      <c r="C22" s="14">
        <v>2</v>
      </c>
      <c r="D22" s="3">
        <v>8</v>
      </c>
      <c r="E22" s="12">
        <f t="shared" si="0"/>
        <v>16</v>
      </c>
      <c r="F22" s="13" t="s">
        <v>30</v>
      </c>
    </row>
    <row r="23" spans="1:6" ht="22.5" customHeight="1">
      <c r="A23" s="3" t="s">
        <v>43</v>
      </c>
      <c r="B23" s="3" t="s">
        <v>19</v>
      </c>
      <c r="C23" s="11">
        <v>2</v>
      </c>
      <c r="D23" s="3">
        <v>12</v>
      </c>
      <c r="E23" s="12">
        <f t="shared" si="0"/>
        <v>24</v>
      </c>
      <c r="F23" s="13" t="s">
        <v>30</v>
      </c>
    </row>
    <row r="24" spans="1:6" ht="22.5" customHeight="1">
      <c r="A24" s="15" t="s">
        <v>44</v>
      </c>
      <c r="B24" s="16"/>
      <c r="C24" s="17"/>
      <c r="D24" s="16"/>
      <c r="E24" s="18">
        <f>SUM(Table3[cout])</f>
        <v>7347.8159999999998</v>
      </c>
      <c r="F24" s="19">
        <f>SUMIF(Table3[[Acheté ]],"oui",Table3[cout])</f>
        <v>2348.616</v>
      </c>
    </row>
    <row r="25" spans="1:6" ht="12.75">
      <c r="A25" s="2" t="s">
        <v>45</v>
      </c>
      <c r="C25" s="6"/>
      <c r="E25" s="20">
        <v>13860</v>
      </c>
    </row>
    <row r="26" spans="1:6" ht="12.75">
      <c r="A26" s="2" t="s">
        <v>46</v>
      </c>
      <c r="C26" s="6"/>
      <c r="E26" s="20">
        <f>E25-Table3[[#Totals],[cout]]</f>
        <v>6512.1840000000002</v>
      </c>
    </row>
    <row r="27" spans="1:6" ht="12.75">
      <c r="C27" s="6"/>
    </row>
    <row r="28" spans="1:6" ht="12.75">
      <c r="C28" s="6"/>
    </row>
    <row r="29" spans="1:6" ht="12.75">
      <c r="C29" s="6"/>
    </row>
    <row r="30" spans="1:6" ht="12.75">
      <c r="C30" s="6"/>
    </row>
    <row r="49" spans="3:3" ht="12.75">
      <c r="C49" s="6"/>
    </row>
    <row r="50" spans="3:3" ht="12.75">
      <c r="C50" s="6"/>
    </row>
    <row r="51" spans="3:3" ht="12.75">
      <c r="C51" s="6"/>
    </row>
    <row r="52" spans="3:3" ht="12.75">
      <c r="C52" s="6"/>
    </row>
    <row r="53" spans="3:3" ht="12.75">
      <c r="C53" s="6"/>
    </row>
    <row r="54" spans="3:3" ht="12.75">
      <c r="C54" s="6"/>
    </row>
    <row r="55" spans="3:3" ht="12.75">
      <c r="C55" s="6"/>
    </row>
    <row r="56" spans="3:3" ht="12.75">
      <c r="C56" s="6"/>
    </row>
    <row r="57" spans="3:3" ht="12.75">
      <c r="C57" s="6"/>
    </row>
    <row r="58" spans="3:3" ht="12.75">
      <c r="C58" s="6"/>
    </row>
    <row r="59" spans="3:3" ht="12.75">
      <c r="C59" s="6"/>
    </row>
    <row r="60" spans="3:3" ht="12.75">
      <c r="C60" s="6"/>
    </row>
    <row r="61" spans="3:3" ht="12.75">
      <c r="C61" s="6"/>
    </row>
    <row r="62" spans="3:3" ht="12.75">
      <c r="C62" s="6"/>
    </row>
    <row r="63" spans="3:3" ht="12.75">
      <c r="C63" s="6"/>
    </row>
    <row r="64" spans="3:3" ht="12.75">
      <c r="C64" s="6"/>
    </row>
    <row r="65" spans="3:3" ht="12.75">
      <c r="C65" s="6"/>
    </row>
    <row r="66" spans="3:3" ht="12.75">
      <c r="C66" s="6"/>
    </row>
    <row r="67" spans="3:3" ht="12.75">
      <c r="C67" s="6"/>
    </row>
    <row r="68" spans="3:3" ht="12.75">
      <c r="C68" s="6"/>
    </row>
    <row r="69" spans="3:3" ht="12.75">
      <c r="C69" s="6"/>
    </row>
    <row r="70" spans="3:3" ht="12.75">
      <c r="C70" s="6"/>
    </row>
    <row r="71" spans="3:3" ht="12.75">
      <c r="C71" s="6"/>
    </row>
    <row r="72" spans="3:3" ht="12.75">
      <c r="C72" s="6"/>
    </row>
    <row r="73" spans="3:3" ht="12.75">
      <c r="C73" s="6"/>
    </row>
    <row r="74" spans="3:3" ht="12.75">
      <c r="C74" s="6"/>
    </row>
    <row r="75" spans="3:3" ht="12.75">
      <c r="C75" s="6"/>
    </row>
    <row r="76" spans="3:3" ht="12.75">
      <c r="C76" s="6"/>
    </row>
    <row r="77" spans="3:3" ht="12.75">
      <c r="C77" s="6"/>
    </row>
    <row r="78" spans="3:3" ht="12.75">
      <c r="C78" s="6"/>
    </row>
    <row r="79" spans="3:3" ht="12.75">
      <c r="C79" s="6"/>
    </row>
    <row r="80" spans="3:3" ht="12.75">
      <c r="C80" s="6"/>
    </row>
    <row r="81" spans="3:3" ht="12.75">
      <c r="C81" s="6"/>
    </row>
    <row r="82" spans="3:3" ht="12.75">
      <c r="C82" s="6"/>
    </row>
    <row r="83" spans="3:3" ht="12.75">
      <c r="C83" s="6"/>
    </row>
    <row r="84" spans="3:3" ht="12.75">
      <c r="C84" s="6"/>
    </row>
    <row r="85" spans="3:3" ht="12.75">
      <c r="C85" s="6"/>
    </row>
    <row r="86" spans="3:3" ht="12.75">
      <c r="C86" s="6"/>
    </row>
    <row r="87" spans="3:3" ht="12.75">
      <c r="C87" s="6"/>
    </row>
    <row r="88" spans="3:3" ht="12.75">
      <c r="C88" s="6"/>
    </row>
    <row r="89" spans="3:3" ht="12.75">
      <c r="C89" s="6"/>
    </row>
    <row r="90" spans="3:3" ht="12.75">
      <c r="C90" s="6"/>
    </row>
    <row r="91" spans="3:3" ht="12.75">
      <c r="C91" s="6"/>
    </row>
    <row r="92" spans="3:3" ht="12.75">
      <c r="C92" s="6"/>
    </row>
    <row r="93" spans="3:3" ht="12.75">
      <c r="C93" s="6"/>
    </row>
    <row r="94" spans="3:3" ht="12.75">
      <c r="C94" s="6"/>
    </row>
    <row r="95" spans="3:3" ht="12.75">
      <c r="C95" s="6"/>
    </row>
    <row r="96" spans="3:3" ht="12.75">
      <c r="C96" s="6"/>
    </row>
    <row r="97" spans="3:3" ht="12.75">
      <c r="C97" s="6"/>
    </row>
    <row r="98" spans="3:3" ht="12.75">
      <c r="C98" s="6"/>
    </row>
    <row r="99" spans="3:3" ht="12.75">
      <c r="C99" s="6"/>
    </row>
    <row r="100" spans="3:3" ht="12.75">
      <c r="C100" s="6"/>
    </row>
    <row r="101" spans="3:3" ht="12.75">
      <c r="C101" s="6"/>
    </row>
    <row r="102" spans="3:3" ht="12.75">
      <c r="C102" s="6"/>
    </row>
    <row r="103" spans="3:3" ht="12.75">
      <c r="C103" s="6"/>
    </row>
    <row r="104" spans="3:3" ht="12.75">
      <c r="C104" s="6"/>
    </row>
    <row r="105" spans="3:3" ht="12.75">
      <c r="C105" s="6"/>
    </row>
    <row r="106" spans="3:3" ht="12.75">
      <c r="C106" s="6"/>
    </row>
    <row r="107" spans="3:3" ht="12.75">
      <c r="C107" s="6"/>
    </row>
    <row r="108" spans="3:3" ht="12.75">
      <c r="C108" s="6"/>
    </row>
    <row r="109" spans="3:3" ht="12.75">
      <c r="C109" s="6"/>
    </row>
    <row r="110" spans="3:3" ht="12.75">
      <c r="C110" s="6"/>
    </row>
    <row r="111" spans="3:3" ht="12.75">
      <c r="C111" s="6"/>
    </row>
    <row r="112" spans="3:3" ht="12.75">
      <c r="C112" s="6"/>
    </row>
    <row r="113" spans="3:3" ht="12.75">
      <c r="C113" s="6"/>
    </row>
    <row r="114" spans="3:3" ht="12.75">
      <c r="C114" s="6"/>
    </row>
    <row r="115" spans="3:3" ht="12.75">
      <c r="C115" s="6"/>
    </row>
    <row r="116" spans="3:3" ht="12.75">
      <c r="C116" s="6"/>
    </row>
    <row r="117" spans="3:3" ht="12.75">
      <c r="C117" s="6"/>
    </row>
    <row r="118" spans="3:3" ht="12.75">
      <c r="C118" s="6"/>
    </row>
    <row r="119" spans="3:3" ht="12.75">
      <c r="C119" s="6"/>
    </row>
    <row r="120" spans="3:3" ht="12.75">
      <c r="C120" s="6"/>
    </row>
    <row r="121" spans="3:3" ht="12.75">
      <c r="C121" s="6"/>
    </row>
    <row r="122" spans="3:3" ht="12.75">
      <c r="C122" s="6"/>
    </row>
    <row r="123" spans="3:3" ht="12.75">
      <c r="C123" s="6"/>
    </row>
    <row r="124" spans="3:3" ht="12.75">
      <c r="C124" s="6"/>
    </row>
    <row r="125" spans="3:3" ht="12.75">
      <c r="C125" s="6"/>
    </row>
    <row r="126" spans="3:3" ht="12.75">
      <c r="C126" s="6"/>
    </row>
    <row r="127" spans="3:3" ht="12.75">
      <c r="C127" s="6"/>
    </row>
    <row r="128" spans="3:3" ht="12.75">
      <c r="C128" s="6"/>
    </row>
    <row r="129" spans="3:3" ht="12.75">
      <c r="C129" s="6"/>
    </row>
    <row r="130" spans="3:3" ht="12.75">
      <c r="C130" s="6"/>
    </row>
    <row r="131" spans="3:3" ht="12.75">
      <c r="C131" s="6"/>
    </row>
    <row r="132" spans="3:3" ht="12.75">
      <c r="C132" s="6"/>
    </row>
    <row r="133" spans="3:3" ht="12.75">
      <c r="C133" s="6"/>
    </row>
    <row r="134" spans="3:3" ht="12.75">
      <c r="C134" s="6"/>
    </row>
    <row r="135" spans="3:3" ht="12.75">
      <c r="C135" s="6"/>
    </row>
    <row r="136" spans="3:3" ht="12.75">
      <c r="C136" s="6"/>
    </row>
    <row r="137" spans="3:3" ht="12.75">
      <c r="C137" s="6"/>
    </row>
    <row r="138" spans="3:3" ht="12.75">
      <c r="C138" s="6"/>
    </row>
    <row r="139" spans="3:3" ht="12.75">
      <c r="C139" s="6"/>
    </row>
    <row r="140" spans="3:3" ht="12.75">
      <c r="C140" s="6"/>
    </row>
    <row r="141" spans="3:3" ht="12.75">
      <c r="C141" s="6"/>
    </row>
    <row r="142" spans="3:3" ht="12.75">
      <c r="C142" s="6"/>
    </row>
    <row r="143" spans="3:3" ht="12.75">
      <c r="C143" s="6"/>
    </row>
    <row r="144" spans="3:3" ht="12.75">
      <c r="C144" s="6"/>
    </row>
    <row r="145" spans="3:3" ht="12.75">
      <c r="C145" s="6"/>
    </row>
    <row r="146" spans="3:3" ht="12.75">
      <c r="C146" s="6"/>
    </row>
    <row r="147" spans="3:3" ht="12.75">
      <c r="C147" s="6"/>
    </row>
    <row r="148" spans="3:3" ht="12.75">
      <c r="C148" s="6"/>
    </row>
    <row r="149" spans="3:3" ht="12.75">
      <c r="C149" s="6"/>
    </row>
    <row r="150" spans="3:3" ht="12.75">
      <c r="C150" s="6"/>
    </row>
    <row r="151" spans="3:3" ht="12.75">
      <c r="C151" s="6"/>
    </row>
    <row r="152" spans="3:3" ht="12.75">
      <c r="C152" s="6"/>
    </row>
    <row r="153" spans="3:3" ht="12.75">
      <c r="C153" s="6"/>
    </row>
    <row r="154" spans="3:3" ht="12.75">
      <c r="C154" s="6"/>
    </row>
    <row r="155" spans="3:3" ht="12.75">
      <c r="C155" s="6"/>
    </row>
    <row r="156" spans="3:3" ht="12.75">
      <c r="C156" s="6"/>
    </row>
    <row r="157" spans="3:3" ht="12.75">
      <c r="C157" s="6"/>
    </row>
    <row r="158" spans="3:3" ht="12.75">
      <c r="C158" s="6"/>
    </row>
    <row r="159" spans="3:3" ht="12.75">
      <c r="C159" s="6"/>
    </row>
    <row r="160" spans="3:3" ht="12.75">
      <c r="C160" s="6"/>
    </row>
    <row r="161" spans="3:3" ht="12.75">
      <c r="C161" s="6"/>
    </row>
    <row r="162" spans="3:3" ht="12.75">
      <c r="C162" s="6"/>
    </row>
    <row r="163" spans="3:3" ht="12.75">
      <c r="C163" s="6"/>
    </row>
    <row r="164" spans="3:3" ht="12.75">
      <c r="C164" s="6"/>
    </row>
    <row r="165" spans="3:3" ht="12.75">
      <c r="C165" s="6"/>
    </row>
    <row r="166" spans="3:3" ht="12.75">
      <c r="C166" s="6"/>
    </row>
    <row r="167" spans="3:3" ht="12.75">
      <c r="C167" s="6"/>
    </row>
    <row r="168" spans="3:3" ht="12.75">
      <c r="C168" s="6"/>
    </row>
    <row r="169" spans="3:3" ht="12.75">
      <c r="C169" s="6"/>
    </row>
    <row r="170" spans="3:3" ht="12.75">
      <c r="C170" s="6"/>
    </row>
    <row r="171" spans="3:3" ht="12.75">
      <c r="C171" s="6"/>
    </row>
    <row r="172" spans="3:3" ht="12.75">
      <c r="C172" s="6"/>
    </row>
    <row r="173" spans="3:3" ht="12.75">
      <c r="C173" s="6"/>
    </row>
    <row r="174" spans="3:3" ht="12.75">
      <c r="C174" s="6"/>
    </row>
    <row r="175" spans="3:3" ht="12.75">
      <c r="C175" s="6"/>
    </row>
    <row r="176" spans="3:3" ht="12.75">
      <c r="C176" s="6"/>
    </row>
    <row r="177" spans="3:3" ht="12.75">
      <c r="C177" s="6"/>
    </row>
    <row r="178" spans="3:3" ht="12.75">
      <c r="C178" s="6"/>
    </row>
    <row r="179" spans="3:3" ht="12.75">
      <c r="C179" s="6"/>
    </row>
    <row r="180" spans="3:3" ht="12.75">
      <c r="C180" s="6"/>
    </row>
    <row r="181" spans="3:3" ht="12.75">
      <c r="C181" s="6"/>
    </row>
    <row r="182" spans="3:3" ht="12.75">
      <c r="C182" s="6"/>
    </row>
    <row r="183" spans="3:3" ht="12.75">
      <c r="C183" s="6"/>
    </row>
    <row r="184" spans="3:3" ht="12.75">
      <c r="C184" s="6"/>
    </row>
    <row r="185" spans="3:3" ht="12.75">
      <c r="C185" s="6"/>
    </row>
    <row r="186" spans="3:3" ht="12.75">
      <c r="C186" s="6"/>
    </row>
    <row r="187" spans="3:3" ht="12.75">
      <c r="C187" s="6"/>
    </row>
    <row r="188" spans="3:3" ht="12.75">
      <c r="C188" s="6"/>
    </row>
    <row r="189" spans="3:3" ht="12.75">
      <c r="C189" s="6"/>
    </row>
    <row r="190" spans="3:3" ht="12.75">
      <c r="C190" s="6"/>
    </row>
    <row r="191" spans="3:3" ht="12.75">
      <c r="C191" s="6"/>
    </row>
    <row r="192" spans="3:3" ht="12.75">
      <c r="C192" s="6"/>
    </row>
    <row r="193" spans="3:3" ht="12.75">
      <c r="C193" s="6"/>
    </row>
    <row r="194" spans="3:3" ht="12.75">
      <c r="C194" s="6"/>
    </row>
    <row r="195" spans="3:3" ht="12.75">
      <c r="C195" s="6"/>
    </row>
    <row r="196" spans="3:3" ht="12.75">
      <c r="C196" s="6"/>
    </row>
    <row r="197" spans="3:3" ht="12.75">
      <c r="C197" s="6"/>
    </row>
    <row r="198" spans="3:3" ht="12.75">
      <c r="C198" s="6"/>
    </row>
    <row r="199" spans="3:3" ht="12.75">
      <c r="C199" s="6"/>
    </row>
    <row r="200" spans="3:3" ht="12.75">
      <c r="C200" s="6"/>
    </row>
    <row r="201" spans="3:3" ht="12.75">
      <c r="C201" s="6"/>
    </row>
    <row r="202" spans="3:3" ht="12.75">
      <c r="C202" s="6"/>
    </row>
    <row r="203" spans="3:3" ht="12.75">
      <c r="C203" s="6"/>
    </row>
    <row r="204" spans="3:3" ht="12.75">
      <c r="C204" s="6"/>
    </row>
    <row r="205" spans="3:3" ht="12.75">
      <c r="C205" s="6"/>
    </row>
    <row r="206" spans="3:3" ht="12.75">
      <c r="C206" s="6"/>
    </row>
    <row r="207" spans="3:3" ht="12.75">
      <c r="C207" s="6"/>
    </row>
    <row r="208" spans="3:3" ht="12.75">
      <c r="C208" s="6"/>
    </row>
    <row r="209" spans="3:3" ht="12.75">
      <c r="C209" s="6"/>
    </row>
    <row r="210" spans="3:3" ht="12.75">
      <c r="C210" s="6"/>
    </row>
    <row r="211" spans="3:3" ht="12.75">
      <c r="C211" s="6"/>
    </row>
    <row r="212" spans="3:3" ht="12.75">
      <c r="C212" s="6"/>
    </row>
    <row r="213" spans="3:3" ht="12.75">
      <c r="C213" s="6"/>
    </row>
    <row r="214" spans="3:3" ht="12.75">
      <c r="C214" s="6"/>
    </row>
    <row r="215" spans="3:3" ht="12.75">
      <c r="C215" s="6"/>
    </row>
    <row r="216" spans="3:3" ht="12.75">
      <c r="C216" s="6"/>
    </row>
    <row r="217" spans="3:3" ht="12.75">
      <c r="C217" s="6"/>
    </row>
    <row r="218" spans="3:3" ht="12.75">
      <c r="C218" s="6"/>
    </row>
    <row r="219" spans="3:3" ht="12.75">
      <c r="C219" s="6"/>
    </row>
    <row r="220" spans="3:3" ht="12.75">
      <c r="C220" s="6"/>
    </row>
    <row r="221" spans="3:3" ht="12.75">
      <c r="C221" s="6"/>
    </row>
    <row r="222" spans="3:3" ht="12.75">
      <c r="C222" s="6"/>
    </row>
    <row r="223" spans="3:3" ht="12.75">
      <c r="C223" s="6"/>
    </row>
    <row r="224" spans="3:3" ht="12.75">
      <c r="C224" s="6"/>
    </row>
    <row r="225" spans="3:3" ht="12.75">
      <c r="C225" s="6"/>
    </row>
    <row r="226" spans="3:3" ht="12.75">
      <c r="C226" s="6"/>
    </row>
    <row r="227" spans="3:3" ht="12.75">
      <c r="C227" s="6"/>
    </row>
    <row r="228" spans="3:3" ht="12.75">
      <c r="C228" s="6"/>
    </row>
    <row r="229" spans="3:3" ht="12.75">
      <c r="C229" s="6"/>
    </row>
    <row r="230" spans="3:3" ht="12.75">
      <c r="C230" s="6"/>
    </row>
    <row r="231" spans="3:3" ht="12.75">
      <c r="C231" s="6"/>
    </row>
    <row r="232" spans="3:3" ht="12.75">
      <c r="C232" s="6"/>
    </row>
    <row r="233" spans="3:3" ht="12.75">
      <c r="C233" s="6"/>
    </row>
    <row r="234" spans="3:3" ht="12.75">
      <c r="C234" s="6"/>
    </row>
    <row r="235" spans="3:3" ht="12.75">
      <c r="C235" s="6"/>
    </row>
    <row r="236" spans="3:3" ht="12.75">
      <c r="C236" s="6"/>
    </row>
    <row r="237" spans="3:3" ht="12.75">
      <c r="C237" s="6"/>
    </row>
    <row r="238" spans="3:3" ht="12.75">
      <c r="C238" s="6"/>
    </row>
    <row r="239" spans="3:3" ht="12.75">
      <c r="C239" s="6"/>
    </row>
    <row r="240" spans="3:3" ht="12.75">
      <c r="C240" s="6"/>
    </row>
    <row r="241" spans="3:3" ht="12.75">
      <c r="C241" s="6"/>
    </row>
    <row r="242" spans="3:3" ht="12.75">
      <c r="C242" s="6"/>
    </row>
    <row r="243" spans="3:3" ht="12.75">
      <c r="C243" s="6"/>
    </row>
    <row r="244" spans="3:3" ht="12.75">
      <c r="C244" s="6"/>
    </row>
    <row r="245" spans="3:3" ht="12.75">
      <c r="C245" s="6"/>
    </row>
    <row r="246" spans="3:3" ht="12.75">
      <c r="C246" s="6"/>
    </row>
    <row r="247" spans="3:3" ht="12.75">
      <c r="C247" s="6"/>
    </row>
    <row r="248" spans="3:3" ht="12.75">
      <c r="C248" s="6"/>
    </row>
    <row r="249" spans="3:3" ht="12.75">
      <c r="C249" s="6"/>
    </row>
    <row r="250" spans="3:3" ht="12.75">
      <c r="C250" s="6"/>
    </row>
    <row r="251" spans="3:3" ht="12.75">
      <c r="C251" s="6"/>
    </row>
    <row r="252" spans="3:3" ht="12.75">
      <c r="C252" s="6"/>
    </row>
    <row r="253" spans="3:3" ht="12.75">
      <c r="C253" s="6"/>
    </row>
    <row r="254" spans="3:3" ht="12.75">
      <c r="C254" s="6"/>
    </row>
    <row r="255" spans="3:3" ht="12.75">
      <c r="C255" s="6"/>
    </row>
    <row r="256" spans="3:3" ht="12.75">
      <c r="C256" s="6"/>
    </row>
    <row r="257" spans="3:3" ht="12.75">
      <c r="C257" s="6"/>
    </row>
    <row r="258" spans="3:3" ht="12.75">
      <c r="C258" s="6"/>
    </row>
    <row r="259" spans="3:3" ht="12.75">
      <c r="C259" s="6"/>
    </row>
    <row r="260" spans="3:3" ht="12.75">
      <c r="C260" s="6"/>
    </row>
    <row r="261" spans="3:3" ht="12.75">
      <c r="C261" s="6"/>
    </row>
    <row r="262" spans="3:3" ht="12.75">
      <c r="C262" s="6"/>
    </row>
    <row r="263" spans="3:3" ht="12.75">
      <c r="C263" s="6"/>
    </row>
    <row r="264" spans="3:3" ht="12.75">
      <c r="C264" s="6"/>
    </row>
    <row r="265" spans="3:3" ht="12.75">
      <c r="C265" s="6"/>
    </row>
    <row r="266" spans="3:3" ht="12.75">
      <c r="C266" s="6"/>
    </row>
    <row r="267" spans="3:3" ht="12.75">
      <c r="C267" s="6"/>
    </row>
    <row r="268" spans="3:3" ht="12.75">
      <c r="C268" s="6"/>
    </row>
    <row r="269" spans="3:3" ht="12.75">
      <c r="C269" s="6"/>
    </row>
    <row r="270" spans="3:3" ht="12.75">
      <c r="C270" s="6"/>
    </row>
    <row r="271" spans="3:3" ht="12.75">
      <c r="C271" s="6"/>
    </row>
    <row r="272" spans="3:3" ht="12.75">
      <c r="C272" s="6"/>
    </row>
    <row r="273" spans="3:3" ht="12.75">
      <c r="C273" s="6"/>
    </row>
    <row r="274" spans="3:3" ht="12.75">
      <c r="C274" s="6"/>
    </row>
    <row r="275" spans="3:3" ht="12.75">
      <c r="C275" s="6"/>
    </row>
    <row r="276" spans="3:3" ht="12.75">
      <c r="C276" s="6"/>
    </row>
    <row r="277" spans="3:3" ht="12.75">
      <c r="C277" s="6"/>
    </row>
    <row r="278" spans="3:3" ht="12.75">
      <c r="C278" s="6"/>
    </row>
    <row r="279" spans="3:3" ht="12.75">
      <c r="C279" s="6"/>
    </row>
    <row r="280" spans="3:3" ht="12.75">
      <c r="C280" s="6"/>
    </row>
    <row r="281" spans="3:3" ht="12.75">
      <c r="C281" s="6"/>
    </row>
    <row r="282" spans="3:3" ht="12.75">
      <c r="C282" s="6"/>
    </row>
    <row r="283" spans="3:3" ht="12.75">
      <c r="C283" s="6"/>
    </row>
    <row r="284" spans="3:3" ht="12.75">
      <c r="C284" s="6"/>
    </row>
    <row r="285" spans="3:3" ht="12.75">
      <c r="C285" s="6"/>
    </row>
    <row r="286" spans="3:3" ht="12.75">
      <c r="C286" s="6"/>
    </row>
    <row r="287" spans="3:3" ht="12.75">
      <c r="C287" s="6"/>
    </row>
    <row r="288" spans="3:3" ht="12.75">
      <c r="C288" s="6"/>
    </row>
    <row r="289" spans="3:3" ht="12.75">
      <c r="C289" s="6"/>
    </row>
    <row r="290" spans="3:3" ht="12.75">
      <c r="C290" s="6"/>
    </row>
    <row r="291" spans="3:3" ht="12.75">
      <c r="C291" s="6"/>
    </row>
    <row r="292" spans="3:3" ht="12.75">
      <c r="C292" s="6"/>
    </row>
    <row r="293" spans="3:3" ht="12.75">
      <c r="C293" s="6"/>
    </row>
    <row r="294" spans="3:3" ht="12.75">
      <c r="C294" s="6"/>
    </row>
    <row r="295" spans="3:3" ht="12.75">
      <c r="C295" s="6"/>
    </row>
    <row r="296" spans="3:3" ht="12.75">
      <c r="C296" s="6"/>
    </row>
    <row r="297" spans="3:3" ht="12.75">
      <c r="C297" s="6"/>
    </row>
    <row r="298" spans="3:3" ht="12.75">
      <c r="C298" s="6"/>
    </row>
    <row r="299" spans="3:3" ht="12.75">
      <c r="C299" s="6"/>
    </row>
    <row r="300" spans="3:3" ht="12.75">
      <c r="C300" s="6"/>
    </row>
    <row r="301" spans="3:3" ht="12.75">
      <c r="C301" s="6"/>
    </row>
    <row r="302" spans="3:3" ht="12.75">
      <c r="C302" s="6"/>
    </row>
    <row r="303" spans="3:3" ht="12.75">
      <c r="C303" s="6"/>
    </row>
    <row r="304" spans="3:3" ht="12.75">
      <c r="C304" s="6"/>
    </row>
    <row r="305" spans="3:3" ht="12.75">
      <c r="C305" s="6"/>
    </row>
    <row r="306" spans="3:3" ht="12.75">
      <c r="C306" s="6"/>
    </row>
    <row r="307" spans="3:3" ht="12.75">
      <c r="C307" s="6"/>
    </row>
    <row r="308" spans="3:3" ht="12.75">
      <c r="C308" s="6"/>
    </row>
    <row r="309" spans="3:3" ht="12.75">
      <c r="C309" s="6"/>
    </row>
    <row r="310" spans="3:3" ht="12.75">
      <c r="C310" s="6"/>
    </row>
    <row r="311" spans="3:3" ht="12.75">
      <c r="C311" s="6"/>
    </row>
    <row r="312" spans="3:3" ht="12.75">
      <c r="C312" s="6"/>
    </row>
    <row r="313" spans="3:3" ht="12.75">
      <c r="C313" s="6"/>
    </row>
    <row r="314" spans="3:3" ht="12.75">
      <c r="C314" s="6"/>
    </row>
    <row r="315" spans="3:3" ht="12.75">
      <c r="C315" s="6"/>
    </row>
    <row r="316" spans="3:3" ht="12.75">
      <c r="C316" s="6"/>
    </row>
    <row r="317" spans="3:3" ht="12.75">
      <c r="C317" s="6"/>
    </row>
    <row r="318" spans="3:3" ht="12.75">
      <c r="C318" s="6"/>
    </row>
    <row r="319" spans="3:3" ht="12.75">
      <c r="C319" s="6"/>
    </row>
    <row r="320" spans="3:3" ht="12.75">
      <c r="C320" s="6"/>
    </row>
    <row r="321" spans="3:3" ht="12.75">
      <c r="C321" s="6"/>
    </row>
    <row r="322" spans="3:3" ht="12.75">
      <c r="C322" s="6"/>
    </row>
    <row r="323" spans="3:3" ht="12.75">
      <c r="C323" s="6"/>
    </row>
    <row r="324" spans="3:3" ht="12.75">
      <c r="C324" s="6"/>
    </row>
    <row r="325" spans="3:3" ht="12.75">
      <c r="C325" s="6"/>
    </row>
    <row r="326" spans="3:3" ht="12.75">
      <c r="C326" s="6"/>
    </row>
    <row r="327" spans="3:3" ht="12.75">
      <c r="C327" s="6"/>
    </row>
    <row r="328" spans="3:3" ht="12.75">
      <c r="C328" s="6"/>
    </row>
    <row r="329" spans="3:3" ht="12.75">
      <c r="C329" s="6"/>
    </row>
    <row r="330" spans="3:3" ht="12.75">
      <c r="C330" s="6"/>
    </row>
    <row r="331" spans="3:3" ht="12.75">
      <c r="C331" s="6"/>
    </row>
    <row r="332" spans="3:3" ht="12.75">
      <c r="C332" s="6"/>
    </row>
    <row r="333" spans="3:3" ht="12.75">
      <c r="C333" s="6"/>
    </row>
    <row r="334" spans="3:3" ht="12.75">
      <c r="C334" s="6"/>
    </row>
    <row r="335" spans="3:3" ht="12.75">
      <c r="C335" s="6"/>
    </row>
    <row r="336" spans="3:3" ht="12.75">
      <c r="C336" s="6"/>
    </row>
    <row r="337" spans="3:3" ht="12.75">
      <c r="C337" s="6"/>
    </row>
    <row r="338" spans="3:3" ht="12.75">
      <c r="C338" s="6"/>
    </row>
    <row r="339" spans="3:3" ht="12.75">
      <c r="C339" s="6"/>
    </row>
    <row r="340" spans="3:3" ht="12.75">
      <c r="C340" s="6"/>
    </row>
    <row r="341" spans="3:3" ht="12.75">
      <c r="C341" s="6"/>
    </row>
    <row r="342" spans="3:3" ht="12.75">
      <c r="C342" s="6"/>
    </row>
    <row r="343" spans="3:3" ht="12.75">
      <c r="C343" s="6"/>
    </row>
    <row r="344" spans="3:3" ht="12.75">
      <c r="C344" s="6"/>
    </row>
    <row r="345" spans="3:3" ht="12.75">
      <c r="C345" s="6"/>
    </row>
    <row r="346" spans="3:3" ht="12.75">
      <c r="C346" s="6"/>
    </row>
    <row r="347" spans="3:3" ht="12.75">
      <c r="C347" s="6"/>
    </row>
    <row r="348" spans="3:3" ht="12.75">
      <c r="C348" s="6"/>
    </row>
    <row r="349" spans="3:3" ht="12.75">
      <c r="C349" s="6"/>
    </row>
    <row r="350" spans="3:3" ht="12.75">
      <c r="C350" s="6"/>
    </row>
    <row r="351" spans="3:3" ht="12.75">
      <c r="C351" s="6"/>
    </row>
    <row r="352" spans="3:3" ht="12.75">
      <c r="C352" s="6"/>
    </row>
    <row r="353" spans="3:3" ht="12.75">
      <c r="C353" s="6"/>
    </row>
    <row r="354" spans="3:3" ht="12.75">
      <c r="C354" s="6"/>
    </row>
    <row r="355" spans="3:3" ht="12.75">
      <c r="C355" s="6"/>
    </row>
    <row r="356" spans="3:3" ht="12.75">
      <c r="C356" s="6"/>
    </row>
    <row r="357" spans="3:3" ht="12.75">
      <c r="C357" s="6"/>
    </row>
    <row r="358" spans="3:3" ht="12.75">
      <c r="C358" s="6"/>
    </row>
    <row r="359" spans="3:3" ht="12.75">
      <c r="C359" s="6"/>
    </row>
    <row r="360" spans="3:3" ht="12.75">
      <c r="C360" s="6"/>
    </row>
    <row r="361" spans="3:3" ht="12.75">
      <c r="C361" s="6"/>
    </row>
    <row r="362" spans="3:3" ht="12.75">
      <c r="C362" s="6"/>
    </row>
    <row r="363" spans="3:3" ht="12.75">
      <c r="C363" s="6"/>
    </row>
    <row r="364" spans="3:3" ht="12.75">
      <c r="C364" s="6"/>
    </row>
    <row r="365" spans="3:3" ht="12.75">
      <c r="C365" s="6"/>
    </row>
    <row r="366" spans="3:3" ht="12.75">
      <c r="C366" s="6"/>
    </row>
    <row r="367" spans="3:3" ht="12.75">
      <c r="C367" s="6"/>
    </row>
    <row r="368" spans="3:3" ht="12.75">
      <c r="C368" s="6"/>
    </row>
    <row r="369" spans="3:3" ht="12.75">
      <c r="C369" s="6"/>
    </row>
    <row r="370" spans="3:3" ht="12.75">
      <c r="C370" s="6"/>
    </row>
    <row r="371" spans="3:3" ht="12.75">
      <c r="C371" s="6"/>
    </row>
    <row r="372" spans="3:3" ht="12.75">
      <c r="C372" s="6"/>
    </row>
    <row r="373" spans="3:3" ht="12.75">
      <c r="C373" s="6"/>
    </row>
    <row r="374" spans="3:3" ht="12.75">
      <c r="C374" s="6"/>
    </row>
    <row r="375" spans="3:3" ht="12.75">
      <c r="C375" s="6"/>
    </row>
    <row r="376" spans="3:3" ht="12.75">
      <c r="C376" s="6"/>
    </row>
    <row r="377" spans="3:3" ht="12.75">
      <c r="C377" s="6"/>
    </row>
    <row r="378" spans="3:3" ht="12.75">
      <c r="C378" s="6"/>
    </row>
    <row r="379" spans="3:3" ht="12.75">
      <c r="C379" s="6"/>
    </row>
    <row r="380" spans="3:3" ht="12.75">
      <c r="C380" s="6"/>
    </row>
    <row r="381" spans="3:3" ht="12.75">
      <c r="C381" s="6"/>
    </row>
    <row r="382" spans="3:3" ht="12.75">
      <c r="C382" s="6"/>
    </row>
    <row r="383" spans="3:3" ht="12.75">
      <c r="C383" s="6"/>
    </row>
    <row r="384" spans="3:3" ht="12.75">
      <c r="C384" s="6"/>
    </row>
    <row r="385" spans="3:3" ht="12.75">
      <c r="C385" s="6"/>
    </row>
    <row r="386" spans="3:3" ht="12.75">
      <c r="C386" s="6"/>
    </row>
    <row r="387" spans="3:3" ht="12.75">
      <c r="C387" s="6"/>
    </row>
    <row r="388" spans="3:3" ht="12.75">
      <c r="C388" s="6"/>
    </row>
    <row r="389" spans="3:3" ht="12.75">
      <c r="C389" s="6"/>
    </row>
    <row r="390" spans="3:3" ht="12.75">
      <c r="C390" s="6"/>
    </row>
    <row r="391" spans="3:3" ht="12.75">
      <c r="C391" s="6"/>
    </row>
    <row r="392" spans="3:3" ht="12.75">
      <c r="C392" s="6"/>
    </row>
    <row r="393" spans="3:3" ht="12.75">
      <c r="C393" s="6"/>
    </row>
    <row r="394" spans="3:3" ht="12.75">
      <c r="C394" s="6"/>
    </row>
    <row r="395" spans="3:3" ht="12.75">
      <c r="C395" s="6"/>
    </row>
    <row r="396" spans="3:3" ht="12.75">
      <c r="C396" s="6"/>
    </row>
    <row r="397" spans="3:3" ht="12.75">
      <c r="C397" s="6"/>
    </row>
    <row r="398" spans="3:3" ht="12.75">
      <c r="C398" s="6"/>
    </row>
    <row r="399" spans="3:3" ht="12.75">
      <c r="C399" s="6"/>
    </row>
    <row r="400" spans="3:3" ht="12.75">
      <c r="C400" s="6"/>
    </row>
    <row r="401" spans="3:3" ht="12.75">
      <c r="C401" s="6"/>
    </row>
    <row r="402" spans="3:3" ht="12.75">
      <c r="C402" s="6"/>
    </row>
    <row r="403" spans="3:3" ht="12.75">
      <c r="C403" s="6"/>
    </row>
    <row r="404" spans="3:3" ht="12.75">
      <c r="C404" s="6"/>
    </row>
    <row r="405" spans="3:3" ht="12.75">
      <c r="C405" s="6"/>
    </row>
    <row r="406" spans="3:3" ht="12.75">
      <c r="C406" s="6"/>
    </row>
    <row r="407" spans="3:3" ht="12.75">
      <c r="C407" s="6"/>
    </row>
    <row r="408" spans="3:3" ht="12.75">
      <c r="C408" s="6"/>
    </row>
    <row r="409" spans="3:3" ht="12.75">
      <c r="C409" s="6"/>
    </row>
    <row r="410" spans="3:3" ht="12.75">
      <c r="C410" s="6"/>
    </row>
    <row r="411" spans="3:3" ht="12.75">
      <c r="C411" s="6"/>
    </row>
    <row r="412" spans="3:3" ht="12.75">
      <c r="C412" s="6"/>
    </row>
    <row r="413" spans="3:3" ht="12.75">
      <c r="C413" s="6"/>
    </row>
    <row r="414" spans="3:3" ht="12.75">
      <c r="C414" s="6"/>
    </row>
    <row r="415" spans="3:3" ht="12.75">
      <c r="C415" s="6"/>
    </row>
    <row r="416" spans="3:3" ht="12.75">
      <c r="C416" s="6"/>
    </row>
    <row r="417" spans="3:3" ht="12.75">
      <c r="C417" s="6"/>
    </row>
    <row r="418" spans="3:3" ht="12.75">
      <c r="C418" s="6"/>
    </row>
    <row r="419" spans="3:3" ht="12.75">
      <c r="C419" s="6"/>
    </row>
    <row r="420" spans="3:3" ht="12.75">
      <c r="C420" s="6"/>
    </row>
    <row r="421" spans="3:3" ht="12.75">
      <c r="C421" s="6"/>
    </row>
    <row r="422" spans="3:3" ht="12.75">
      <c r="C422" s="6"/>
    </row>
    <row r="423" spans="3:3" ht="12.75">
      <c r="C423" s="6"/>
    </row>
    <row r="424" spans="3:3" ht="12.75">
      <c r="C424" s="6"/>
    </row>
    <row r="425" spans="3:3" ht="12.75">
      <c r="C425" s="6"/>
    </row>
    <row r="426" spans="3:3" ht="12.75">
      <c r="C426" s="6"/>
    </row>
    <row r="427" spans="3:3" ht="12.75">
      <c r="C427" s="6"/>
    </row>
    <row r="428" spans="3:3" ht="12.75">
      <c r="C428" s="6"/>
    </row>
    <row r="429" spans="3:3" ht="12.75">
      <c r="C429" s="6"/>
    </row>
    <row r="430" spans="3:3" ht="12.75">
      <c r="C430" s="6"/>
    </row>
    <row r="431" spans="3:3" ht="12.75">
      <c r="C431" s="6"/>
    </row>
    <row r="432" spans="3:3" ht="12.75">
      <c r="C432" s="6"/>
    </row>
    <row r="433" spans="3:3" ht="12.75">
      <c r="C433" s="6"/>
    </row>
    <row r="434" spans="3:3" ht="12.75">
      <c r="C434" s="6"/>
    </row>
    <row r="435" spans="3:3" ht="12.75">
      <c r="C435" s="6"/>
    </row>
    <row r="436" spans="3:3" ht="12.75">
      <c r="C436" s="6"/>
    </row>
    <row r="437" spans="3:3" ht="12.75">
      <c r="C437" s="6"/>
    </row>
    <row r="438" spans="3:3" ht="12.75">
      <c r="C438" s="6"/>
    </row>
    <row r="439" spans="3:3" ht="12.75">
      <c r="C439" s="6"/>
    </row>
    <row r="440" spans="3:3" ht="12.75">
      <c r="C440" s="6"/>
    </row>
    <row r="441" spans="3:3" ht="12.75">
      <c r="C441" s="6"/>
    </row>
    <row r="442" spans="3:3" ht="12.75">
      <c r="C442" s="6"/>
    </row>
    <row r="443" spans="3:3" ht="12.75">
      <c r="C443" s="6"/>
    </row>
    <row r="444" spans="3:3" ht="12.75">
      <c r="C444" s="6"/>
    </row>
    <row r="445" spans="3:3" ht="12.75">
      <c r="C445" s="6"/>
    </row>
    <row r="446" spans="3:3" ht="12.75">
      <c r="C446" s="6"/>
    </row>
    <row r="447" spans="3:3" ht="12.75">
      <c r="C447" s="6"/>
    </row>
    <row r="448" spans="3:3" ht="12.75">
      <c r="C448" s="6"/>
    </row>
    <row r="449" spans="3:3" ht="12.75">
      <c r="C449" s="6"/>
    </row>
    <row r="450" spans="3:3" ht="12.75">
      <c r="C450" s="6"/>
    </row>
    <row r="451" spans="3:3" ht="12.75">
      <c r="C451" s="6"/>
    </row>
    <row r="452" spans="3:3" ht="12.75">
      <c r="C452" s="6"/>
    </row>
    <row r="453" spans="3:3" ht="12.75">
      <c r="C453" s="6"/>
    </row>
    <row r="454" spans="3:3" ht="12.75">
      <c r="C454" s="6"/>
    </row>
    <row r="455" spans="3:3" ht="12.75">
      <c r="C455" s="6"/>
    </row>
    <row r="456" spans="3:3" ht="12.75">
      <c r="C456" s="6"/>
    </row>
    <row r="457" spans="3:3" ht="12.75">
      <c r="C457" s="6"/>
    </row>
    <row r="458" spans="3:3" ht="12.75">
      <c r="C458" s="6"/>
    </row>
    <row r="459" spans="3:3" ht="12.75">
      <c r="C459" s="6"/>
    </row>
    <row r="460" spans="3:3" ht="12.75">
      <c r="C460" s="6"/>
    </row>
    <row r="461" spans="3:3" ht="12.75">
      <c r="C461" s="6"/>
    </row>
    <row r="462" spans="3:3" ht="12.75">
      <c r="C462" s="6"/>
    </row>
    <row r="463" spans="3:3" ht="12.75">
      <c r="C463" s="6"/>
    </row>
    <row r="464" spans="3:3" ht="12.75">
      <c r="C464" s="6"/>
    </row>
    <row r="465" spans="3:3" ht="12.75">
      <c r="C465" s="6"/>
    </row>
    <row r="466" spans="3:3" ht="12.75">
      <c r="C466" s="6"/>
    </row>
    <row r="467" spans="3:3" ht="12.75">
      <c r="C467" s="6"/>
    </row>
    <row r="468" spans="3:3" ht="12.75">
      <c r="C468" s="6"/>
    </row>
    <row r="469" spans="3:3" ht="12.75">
      <c r="C469" s="6"/>
    </row>
    <row r="470" spans="3:3" ht="12.75">
      <c r="C470" s="6"/>
    </row>
    <row r="471" spans="3:3" ht="12.75">
      <c r="C471" s="6"/>
    </row>
    <row r="472" spans="3:3" ht="12.75">
      <c r="C472" s="6"/>
    </row>
    <row r="473" spans="3:3" ht="12.75">
      <c r="C473" s="6"/>
    </row>
    <row r="474" spans="3:3" ht="12.75">
      <c r="C474" s="6"/>
    </row>
    <row r="475" spans="3:3" ht="12.75">
      <c r="C475" s="6"/>
    </row>
    <row r="476" spans="3:3" ht="12.75">
      <c r="C476" s="6"/>
    </row>
    <row r="477" spans="3:3" ht="12.75">
      <c r="C477" s="6"/>
    </row>
    <row r="478" spans="3:3" ht="12.75">
      <c r="C478" s="6"/>
    </row>
    <row r="479" spans="3:3" ht="12.75">
      <c r="C479" s="6"/>
    </row>
    <row r="480" spans="3:3" ht="12.75">
      <c r="C480" s="6"/>
    </row>
    <row r="481" spans="3:3" ht="12.75">
      <c r="C481" s="6"/>
    </row>
    <row r="482" spans="3:3" ht="12.75">
      <c r="C482" s="6"/>
    </row>
    <row r="483" spans="3:3" ht="12.75">
      <c r="C483" s="6"/>
    </row>
    <row r="484" spans="3:3" ht="12.75">
      <c r="C484" s="6"/>
    </row>
    <row r="485" spans="3:3" ht="12.75">
      <c r="C485" s="6"/>
    </row>
    <row r="486" spans="3:3" ht="12.75">
      <c r="C486" s="6"/>
    </row>
    <row r="487" spans="3:3" ht="12.75">
      <c r="C487" s="6"/>
    </row>
    <row r="488" spans="3:3" ht="12.75">
      <c r="C488" s="6"/>
    </row>
    <row r="489" spans="3:3" ht="12.75">
      <c r="C489" s="6"/>
    </row>
    <row r="490" spans="3:3" ht="12.75">
      <c r="C490" s="6"/>
    </row>
    <row r="491" spans="3:3" ht="12.75">
      <c r="C491" s="6"/>
    </row>
    <row r="492" spans="3:3" ht="12.75">
      <c r="C492" s="6"/>
    </row>
    <row r="493" spans="3:3" ht="12.75">
      <c r="C493" s="6"/>
    </row>
    <row r="494" spans="3:3" ht="12.75">
      <c r="C494" s="6"/>
    </row>
    <row r="495" spans="3:3" ht="12.75">
      <c r="C495" s="6"/>
    </row>
    <row r="496" spans="3:3" ht="12.75">
      <c r="C496" s="6"/>
    </row>
    <row r="497" spans="3:3" ht="12.75">
      <c r="C497" s="6"/>
    </row>
    <row r="498" spans="3:3" ht="12.75">
      <c r="C498" s="6"/>
    </row>
    <row r="499" spans="3:3" ht="12.75">
      <c r="C499" s="6"/>
    </row>
    <row r="500" spans="3:3" ht="12.75">
      <c r="C500" s="6"/>
    </row>
    <row r="501" spans="3:3" ht="12.75">
      <c r="C501" s="6"/>
    </row>
    <row r="502" spans="3:3" ht="12.75">
      <c r="C502" s="6"/>
    </row>
    <row r="503" spans="3:3" ht="12.75">
      <c r="C503" s="6"/>
    </row>
    <row r="504" spans="3:3" ht="12.75">
      <c r="C504" s="6"/>
    </row>
    <row r="505" spans="3:3" ht="12.75">
      <c r="C505" s="6"/>
    </row>
    <row r="506" spans="3:3" ht="12.75">
      <c r="C506" s="6"/>
    </row>
    <row r="507" spans="3:3" ht="12.75">
      <c r="C507" s="6"/>
    </row>
    <row r="508" spans="3:3" ht="12.75">
      <c r="C508" s="6"/>
    </row>
    <row r="509" spans="3:3" ht="12.75">
      <c r="C509" s="6"/>
    </row>
    <row r="510" spans="3:3" ht="12.75">
      <c r="C510" s="6"/>
    </row>
    <row r="511" spans="3:3" ht="12.75">
      <c r="C511" s="6"/>
    </row>
    <row r="512" spans="3:3" ht="12.75">
      <c r="C512" s="6"/>
    </row>
    <row r="513" spans="3:3" ht="12.75">
      <c r="C513" s="6"/>
    </row>
    <row r="514" spans="3:3" ht="12.75">
      <c r="C514" s="6"/>
    </row>
    <row r="515" spans="3:3" ht="12.75">
      <c r="C515" s="6"/>
    </row>
    <row r="516" spans="3:3" ht="12.75">
      <c r="C516" s="6"/>
    </row>
    <row r="517" spans="3:3" ht="12.75">
      <c r="C517" s="6"/>
    </row>
    <row r="518" spans="3:3" ht="12.75">
      <c r="C518" s="6"/>
    </row>
    <row r="519" spans="3:3" ht="12.75">
      <c r="C519" s="6"/>
    </row>
    <row r="520" spans="3:3" ht="12.75">
      <c r="C520" s="6"/>
    </row>
    <row r="521" spans="3:3" ht="12.75">
      <c r="C521" s="6"/>
    </row>
    <row r="522" spans="3:3" ht="12.75">
      <c r="C522" s="6"/>
    </row>
    <row r="523" spans="3:3" ht="12.75">
      <c r="C523" s="6"/>
    </row>
    <row r="524" spans="3:3" ht="12.75">
      <c r="C524" s="6"/>
    </row>
    <row r="525" spans="3:3" ht="12.75">
      <c r="C525" s="6"/>
    </row>
    <row r="526" spans="3:3" ht="12.75">
      <c r="C526" s="6"/>
    </row>
    <row r="527" spans="3:3" ht="12.75">
      <c r="C527" s="6"/>
    </row>
    <row r="528" spans="3:3" ht="12.75">
      <c r="C528" s="6"/>
    </row>
    <row r="529" spans="3:3" ht="12.75">
      <c r="C529" s="6"/>
    </row>
    <row r="530" spans="3:3" ht="12.75">
      <c r="C530" s="6"/>
    </row>
    <row r="531" spans="3:3" ht="12.75">
      <c r="C531" s="6"/>
    </row>
    <row r="532" spans="3:3" ht="12.75">
      <c r="C532" s="6"/>
    </row>
    <row r="533" spans="3:3" ht="12.75">
      <c r="C533" s="6"/>
    </row>
    <row r="534" spans="3:3" ht="12.75">
      <c r="C534" s="6"/>
    </row>
    <row r="535" spans="3:3" ht="12.75">
      <c r="C535" s="6"/>
    </row>
    <row r="536" spans="3:3" ht="12.75">
      <c r="C536" s="6"/>
    </row>
    <row r="537" spans="3:3" ht="12.75">
      <c r="C537" s="6"/>
    </row>
    <row r="538" spans="3:3" ht="12.75">
      <c r="C538" s="6"/>
    </row>
    <row r="539" spans="3:3" ht="12.75">
      <c r="C539" s="6"/>
    </row>
    <row r="540" spans="3:3" ht="12.75">
      <c r="C540" s="6"/>
    </row>
    <row r="541" spans="3:3" ht="12.75">
      <c r="C541" s="6"/>
    </row>
    <row r="542" spans="3:3" ht="12.75">
      <c r="C542" s="6"/>
    </row>
    <row r="543" spans="3:3" ht="12.75">
      <c r="C543" s="6"/>
    </row>
    <row r="544" spans="3:3" ht="12.75">
      <c r="C544" s="6"/>
    </row>
    <row r="545" spans="3:3" ht="12.75">
      <c r="C545" s="6"/>
    </row>
    <row r="546" spans="3:3" ht="12.75">
      <c r="C546" s="6"/>
    </row>
    <row r="547" spans="3:3" ht="12.75">
      <c r="C547" s="6"/>
    </row>
    <row r="548" spans="3:3" ht="12.75">
      <c r="C548" s="6"/>
    </row>
    <row r="549" spans="3:3" ht="12.75">
      <c r="C549" s="6"/>
    </row>
    <row r="550" spans="3:3" ht="12.75">
      <c r="C550" s="6"/>
    </row>
    <row r="551" spans="3:3" ht="12.75">
      <c r="C551" s="6"/>
    </row>
    <row r="552" spans="3:3" ht="12.75">
      <c r="C552" s="6"/>
    </row>
    <row r="553" spans="3:3" ht="12.75">
      <c r="C553" s="6"/>
    </row>
    <row r="554" spans="3:3" ht="12.75">
      <c r="C554" s="6"/>
    </row>
    <row r="555" spans="3:3" ht="12.75">
      <c r="C555" s="6"/>
    </row>
    <row r="556" spans="3:3" ht="12.75">
      <c r="C556" s="6"/>
    </row>
    <row r="557" spans="3:3" ht="12.75">
      <c r="C557" s="6"/>
    </row>
    <row r="558" spans="3:3" ht="12.75">
      <c r="C558" s="6"/>
    </row>
    <row r="559" spans="3:3" ht="12.75">
      <c r="C559" s="6"/>
    </row>
    <row r="560" spans="3:3" ht="12.75">
      <c r="C560" s="6"/>
    </row>
    <row r="561" spans="3:3" ht="12.75">
      <c r="C561" s="6"/>
    </row>
    <row r="562" spans="3:3" ht="12.75">
      <c r="C562" s="6"/>
    </row>
    <row r="563" spans="3:3" ht="12.75">
      <c r="C563" s="6"/>
    </row>
    <row r="564" spans="3:3" ht="12.75">
      <c r="C564" s="6"/>
    </row>
    <row r="565" spans="3:3" ht="12.75">
      <c r="C565" s="6"/>
    </row>
    <row r="566" spans="3:3" ht="12.75">
      <c r="C566" s="6"/>
    </row>
    <row r="567" spans="3:3" ht="12.75">
      <c r="C567" s="6"/>
    </row>
    <row r="568" spans="3:3" ht="12.75">
      <c r="C568" s="6"/>
    </row>
    <row r="569" spans="3:3" ht="12.75">
      <c r="C569" s="6"/>
    </row>
    <row r="570" spans="3:3" ht="12.75">
      <c r="C570" s="6"/>
    </row>
    <row r="571" spans="3:3" ht="12.75">
      <c r="C571" s="6"/>
    </row>
    <row r="572" spans="3:3" ht="12.75">
      <c r="C572" s="6"/>
    </row>
    <row r="573" spans="3:3" ht="12.75">
      <c r="C573" s="6"/>
    </row>
    <row r="574" spans="3:3" ht="12.75">
      <c r="C574" s="6"/>
    </row>
    <row r="575" spans="3:3" ht="12.75">
      <c r="C575" s="6"/>
    </row>
    <row r="576" spans="3:3" ht="12.75">
      <c r="C576" s="6"/>
    </row>
    <row r="577" spans="3:3" ht="12.75">
      <c r="C577" s="6"/>
    </row>
    <row r="578" spans="3:3" ht="12.75">
      <c r="C578" s="6"/>
    </row>
    <row r="579" spans="3:3" ht="12.75">
      <c r="C579" s="6"/>
    </row>
    <row r="580" spans="3:3" ht="12.75">
      <c r="C580" s="6"/>
    </row>
    <row r="581" spans="3:3" ht="12.75">
      <c r="C581" s="6"/>
    </row>
    <row r="582" spans="3:3" ht="12.75">
      <c r="C582" s="6"/>
    </row>
    <row r="583" spans="3:3" ht="12.75">
      <c r="C583" s="6"/>
    </row>
    <row r="584" spans="3:3" ht="12.75">
      <c r="C584" s="6"/>
    </row>
    <row r="585" spans="3:3" ht="12.75">
      <c r="C585" s="6"/>
    </row>
    <row r="586" spans="3:3" ht="12.75">
      <c r="C586" s="6"/>
    </row>
    <row r="587" spans="3:3" ht="12.75">
      <c r="C587" s="6"/>
    </row>
    <row r="588" spans="3:3" ht="12.75">
      <c r="C588" s="6"/>
    </row>
    <row r="589" spans="3:3" ht="12.75">
      <c r="C589" s="6"/>
    </row>
    <row r="590" spans="3:3" ht="12.75">
      <c r="C590" s="6"/>
    </row>
    <row r="591" spans="3:3" ht="12.75">
      <c r="C591" s="6"/>
    </row>
    <row r="592" spans="3:3" ht="12.75">
      <c r="C592" s="6"/>
    </row>
    <row r="593" spans="3:3" ht="12.75">
      <c r="C593" s="6"/>
    </row>
    <row r="594" spans="3:3" ht="12.75">
      <c r="C594" s="6"/>
    </row>
    <row r="595" spans="3:3" ht="12.75">
      <c r="C595" s="6"/>
    </row>
    <row r="596" spans="3:3" ht="12.75">
      <c r="C596" s="6"/>
    </row>
    <row r="597" spans="3:3" ht="12.75">
      <c r="C597" s="6"/>
    </row>
    <row r="598" spans="3:3" ht="12.75">
      <c r="C598" s="6"/>
    </row>
    <row r="599" spans="3:3" ht="12.75">
      <c r="C599" s="6"/>
    </row>
    <row r="600" spans="3:3" ht="12.75">
      <c r="C600" s="6"/>
    </row>
    <row r="601" spans="3:3" ht="12.75">
      <c r="C601" s="6"/>
    </row>
    <row r="602" spans="3:3" ht="12.75">
      <c r="C602" s="6"/>
    </row>
    <row r="603" spans="3:3" ht="12.75">
      <c r="C603" s="6"/>
    </row>
    <row r="604" spans="3:3" ht="12.75">
      <c r="C604" s="6"/>
    </row>
    <row r="605" spans="3:3" ht="12.75">
      <c r="C605" s="6"/>
    </row>
    <row r="606" spans="3:3" ht="12.75">
      <c r="C606" s="6"/>
    </row>
    <row r="607" spans="3:3" ht="12.75">
      <c r="C607" s="6"/>
    </row>
    <row r="608" spans="3:3" ht="12.75">
      <c r="C608" s="6"/>
    </row>
    <row r="609" spans="3:3" ht="12.75">
      <c r="C609" s="6"/>
    </row>
    <row r="610" spans="3:3" ht="12.75">
      <c r="C610" s="6"/>
    </row>
    <row r="611" spans="3:3" ht="12.75">
      <c r="C611" s="6"/>
    </row>
    <row r="612" spans="3:3" ht="12.75">
      <c r="C612" s="6"/>
    </row>
    <row r="613" spans="3:3" ht="12.75">
      <c r="C613" s="6"/>
    </row>
    <row r="614" spans="3:3" ht="12.75">
      <c r="C614" s="6"/>
    </row>
    <row r="615" spans="3:3" ht="12.75">
      <c r="C615" s="6"/>
    </row>
    <row r="616" spans="3:3" ht="12.75">
      <c r="C616" s="6"/>
    </row>
    <row r="617" spans="3:3" ht="12.75">
      <c r="C617" s="6"/>
    </row>
    <row r="618" spans="3:3" ht="12.75">
      <c r="C618" s="6"/>
    </row>
    <row r="619" spans="3:3" ht="12.75">
      <c r="C619" s="6"/>
    </row>
    <row r="620" spans="3:3" ht="12.75">
      <c r="C620" s="6"/>
    </row>
    <row r="621" spans="3:3" ht="12.75">
      <c r="C621" s="6"/>
    </row>
    <row r="622" spans="3:3" ht="12.75">
      <c r="C622" s="6"/>
    </row>
    <row r="623" spans="3:3" ht="12.75">
      <c r="C623" s="6"/>
    </row>
    <row r="624" spans="3:3" ht="12.75">
      <c r="C624" s="6"/>
    </row>
    <row r="625" spans="3:3" ht="12.75">
      <c r="C625" s="6"/>
    </row>
    <row r="626" spans="3:3" ht="12.75">
      <c r="C626" s="6"/>
    </row>
    <row r="627" spans="3:3" ht="12.75">
      <c r="C627" s="6"/>
    </row>
    <row r="628" spans="3:3" ht="12.75">
      <c r="C628" s="6"/>
    </row>
    <row r="629" spans="3:3" ht="12.75">
      <c r="C629" s="6"/>
    </row>
    <row r="630" spans="3:3" ht="12.75">
      <c r="C630" s="6"/>
    </row>
    <row r="631" spans="3:3" ht="12.75">
      <c r="C631" s="6"/>
    </row>
    <row r="632" spans="3:3" ht="12.75">
      <c r="C632" s="6"/>
    </row>
    <row r="633" spans="3:3" ht="12.75">
      <c r="C633" s="6"/>
    </row>
    <row r="634" spans="3:3" ht="12.75">
      <c r="C634" s="6"/>
    </row>
    <row r="635" spans="3:3" ht="12.75">
      <c r="C635" s="6"/>
    </row>
    <row r="636" spans="3:3" ht="12.75">
      <c r="C636" s="6"/>
    </row>
    <row r="637" spans="3:3" ht="12.75">
      <c r="C637" s="6"/>
    </row>
    <row r="638" spans="3:3" ht="12.75">
      <c r="C638" s="6"/>
    </row>
    <row r="639" spans="3:3" ht="12.75">
      <c r="C639" s="6"/>
    </row>
    <row r="640" spans="3:3" ht="12.75">
      <c r="C640" s="6"/>
    </row>
    <row r="641" spans="3:3" ht="12.75">
      <c r="C641" s="6"/>
    </row>
    <row r="642" spans="3:3" ht="12.75">
      <c r="C642" s="6"/>
    </row>
    <row r="643" spans="3:3" ht="12.75">
      <c r="C643" s="6"/>
    </row>
    <row r="644" spans="3:3" ht="12.75">
      <c r="C644" s="6"/>
    </row>
    <row r="645" spans="3:3" ht="12.75">
      <c r="C645" s="6"/>
    </row>
    <row r="646" spans="3:3" ht="12.75">
      <c r="C646" s="6"/>
    </row>
    <row r="647" spans="3:3" ht="12.75">
      <c r="C647" s="6"/>
    </row>
    <row r="648" spans="3:3" ht="12.75">
      <c r="C648" s="6"/>
    </row>
    <row r="649" spans="3:3" ht="12.75">
      <c r="C649" s="6"/>
    </row>
    <row r="650" spans="3:3" ht="12.75">
      <c r="C650" s="6"/>
    </row>
    <row r="651" spans="3:3" ht="12.75">
      <c r="C651" s="6"/>
    </row>
    <row r="652" spans="3:3" ht="12.75">
      <c r="C652" s="6"/>
    </row>
    <row r="653" spans="3:3" ht="12.75">
      <c r="C653" s="6"/>
    </row>
    <row r="654" spans="3:3" ht="12.75">
      <c r="C654" s="6"/>
    </row>
    <row r="655" spans="3:3" ht="12.75">
      <c r="C655" s="6"/>
    </row>
    <row r="656" spans="3:3" ht="12.75">
      <c r="C656" s="6"/>
    </row>
    <row r="657" spans="3:3" ht="12.75">
      <c r="C657" s="6"/>
    </row>
    <row r="658" spans="3:3" ht="12.75">
      <c r="C658" s="6"/>
    </row>
    <row r="659" spans="3:3" ht="12.75">
      <c r="C659" s="6"/>
    </row>
    <row r="660" spans="3:3" ht="12.75">
      <c r="C660" s="6"/>
    </row>
    <row r="661" spans="3:3" ht="12.75">
      <c r="C661" s="6"/>
    </row>
    <row r="662" spans="3:3" ht="12.75">
      <c r="C662" s="6"/>
    </row>
    <row r="663" spans="3:3" ht="12.75">
      <c r="C663" s="6"/>
    </row>
    <row r="664" spans="3:3" ht="12.75">
      <c r="C664" s="6"/>
    </row>
    <row r="665" spans="3:3" ht="12.75">
      <c r="C665" s="6"/>
    </row>
    <row r="666" spans="3:3" ht="12.75">
      <c r="C666" s="6"/>
    </row>
    <row r="667" spans="3:3" ht="12.75">
      <c r="C667" s="6"/>
    </row>
    <row r="668" spans="3:3" ht="12.75">
      <c r="C668" s="6"/>
    </row>
    <row r="669" spans="3:3" ht="12.75">
      <c r="C669" s="6"/>
    </row>
    <row r="670" spans="3:3" ht="12.75">
      <c r="C670" s="6"/>
    </row>
    <row r="671" spans="3:3" ht="12.75">
      <c r="C671" s="6"/>
    </row>
    <row r="672" spans="3:3" ht="12.75">
      <c r="C672" s="6"/>
    </row>
    <row r="673" spans="3:3" ht="12.75">
      <c r="C673" s="6"/>
    </row>
    <row r="674" spans="3:3" ht="12.75">
      <c r="C674" s="6"/>
    </row>
    <row r="675" spans="3:3" ht="12.75">
      <c r="C675" s="6"/>
    </row>
    <row r="676" spans="3:3" ht="12.75">
      <c r="C676" s="6"/>
    </row>
    <row r="677" spans="3:3" ht="12.75">
      <c r="C677" s="6"/>
    </row>
    <row r="678" spans="3:3" ht="12.75">
      <c r="C678" s="6"/>
    </row>
    <row r="679" spans="3:3" ht="12.75">
      <c r="C679" s="6"/>
    </row>
    <row r="680" spans="3:3" ht="12.75">
      <c r="C680" s="6"/>
    </row>
    <row r="681" spans="3:3" ht="12.75">
      <c r="C681" s="6"/>
    </row>
    <row r="682" spans="3:3" ht="12.75">
      <c r="C682" s="6"/>
    </row>
    <row r="683" spans="3:3" ht="12.75">
      <c r="C683" s="6"/>
    </row>
    <row r="684" spans="3:3" ht="12.75">
      <c r="C684" s="6"/>
    </row>
    <row r="685" spans="3:3" ht="12.75">
      <c r="C685" s="6"/>
    </row>
    <row r="686" spans="3:3" ht="12.75">
      <c r="C686" s="6"/>
    </row>
    <row r="687" spans="3:3" ht="12.75">
      <c r="C687" s="6"/>
    </row>
    <row r="688" spans="3:3" ht="12.75">
      <c r="C688" s="6"/>
    </row>
    <row r="689" spans="3:3" ht="12.75">
      <c r="C689" s="6"/>
    </row>
    <row r="690" spans="3:3" ht="12.75">
      <c r="C690" s="6"/>
    </row>
    <row r="691" spans="3:3" ht="12.75">
      <c r="C691" s="6"/>
    </row>
    <row r="692" spans="3:3" ht="12.75">
      <c r="C692" s="6"/>
    </row>
    <row r="693" spans="3:3" ht="12.75">
      <c r="C693" s="6"/>
    </row>
    <row r="694" spans="3:3" ht="12.75">
      <c r="C694" s="6"/>
    </row>
    <row r="695" spans="3:3" ht="12.75">
      <c r="C695" s="6"/>
    </row>
    <row r="696" spans="3:3" ht="12.75">
      <c r="C696" s="6"/>
    </row>
    <row r="697" spans="3:3" ht="12.75">
      <c r="C697" s="6"/>
    </row>
    <row r="698" spans="3:3" ht="12.75">
      <c r="C698" s="6"/>
    </row>
    <row r="699" spans="3:3" ht="12.75">
      <c r="C699" s="6"/>
    </row>
    <row r="700" spans="3:3" ht="12.75">
      <c r="C700" s="6"/>
    </row>
    <row r="701" spans="3:3" ht="12.75">
      <c r="C701" s="6"/>
    </row>
    <row r="702" spans="3:3" ht="12.75">
      <c r="C702" s="6"/>
    </row>
    <row r="703" spans="3:3" ht="12.75">
      <c r="C703" s="6"/>
    </row>
    <row r="704" spans="3:3" ht="12.75">
      <c r="C704" s="6"/>
    </row>
    <row r="705" spans="3:3" ht="12.75">
      <c r="C705" s="6"/>
    </row>
    <row r="706" spans="3:3" ht="12.75">
      <c r="C706" s="6"/>
    </row>
    <row r="707" spans="3:3" ht="12.75">
      <c r="C707" s="6"/>
    </row>
    <row r="708" spans="3:3" ht="12.75">
      <c r="C708" s="6"/>
    </row>
    <row r="709" spans="3:3" ht="12.75">
      <c r="C709" s="6"/>
    </row>
    <row r="710" spans="3:3" ht="12.75">
      <c r="C710" s="6"/>
    </row>
    <row r="711" spans="3:3" ht="12.75">
      <c r="C711" s="6"/>
    </row>
    <row r="712" spans="3:3" ht="12.75">
      <c r="C712" s="6"/>
    </row>
    <row r="713" spans="3:3" ht="12.75">
      <c r="C713" s="6"/>
    </row>
    <row r="714" spans="3:3" ht="12.75">
      <c r="C714" s="6"/>
    </row>
    <row r="715" spans="3:3" ht="12.75">
      <c r="C715" s="6"/>
    </row>
    <row r="716" spans="3:3" ht="12.75">
      <c r="C716" s="6"/>
    </row>
    <row r="717" spans="3:3" ht="12.75">
      <c r="C717" s="6"/>
    </row>
    <row r="718" spans="3:3" ht="12.75">
      <c r="C718" s="6"/>
    </row>
    <row r="719" spans="3:3" ht="12.75">
      <c r="C719" s="6"/>
    </row>
    <row r="720" spans="3:3" ht="12.75">
      <c r="C720" s="6"/>
    </row>
    <row r="721" spans="3:3" ht="12.75">
      <c r="C721" s="6"/>
    </row>
    <row r="722" spans="3:3" ht="12.75">
      <c r="C722" s="6"/>
    </row>
    <row r="723" spans="3:3" ht="12.75">
      <c r="C723" s="6"/>
    </row>
    <row r="724" spans="3:3" ht="12.75">
      <c r="C724" s="6"/>
    </row>
    <row r="725" spans="3:3" ht="12.75">
      <c r="C725" s="6"/>
    </row>
    <row r="726" spans="3:3" ht="12.75">
      <c r="C726" s="6"/>
    </row>
    <row r="727" spans="3:3" ht="12.75">
      <c r="C727" s="6"/>
    </row>
    <row r="728" spans="3:3" ht="12.75">
      <c r="C728" s="6"/>
    </row>
    <row r="729" spans="3:3" ht="12.75">
      <c r="C729" s="6"/>
    </row>
    <row r="730" spans="3:3" ht="12.75">
      <c r="C730" s="6"/>
    </row>
    <row r="731" spans="3:3" ht="12.75">
      <c r="C731" s="6"/>
    </row>
    <row r="732" spans="3:3" ht="12.75">
      <c r="C732" s="6"/>
    </row>
    <row r="733" spans="3:3" ht="12.75">
      <c r="C733" s="6"/>
    </row>
    <row r="734" spans="3:3" ht="12.75">
      <c r="C734" s="6"/>
    </row>
    <row r="735" spans="3:3" ht="12.75">
      <c r="C735" s="6"/>
    </row>
    <row r="736" spans="3:3" ht="12.75">
      <c r="C736" s="6"/>
    </row>
    <row r="737" spans="3:3" ht="12.75">
      <c r="C737" s="6"/>
    </row>
    <row r="738" spans="3:3" ht="12.75">
      <c r="C738" s="6"/>
    </row>
    <row r="739" spans="3:3" ht="12.75">
      <c r="C739" s="6"/>
    </row>
    <row r="740" spans="3:3" ht="12.75">
      <c r="C740" s="6"/>
    </row>
    <row r="741" spans="3:3" ht="12.75">
      <c r="C741" s="6"/>
    </row>
    <row r="742" spans="3:3" ht="12.75">
      <c r="C742" s="6"/>
    </row>
    <row r="743" spans="3:3" ht="12.75">
      <c r="C743" s="6"/>
    </row>
    <row r="744" spans="3:3" ht="12.75">
      <c r="C744" s="6"/>
    </row>
    <row r="745" spans="3:3" ht="12.75">
      <c r="C745" s="6"/>
    </row>
    <row r="746" spans="3:3" ht="12.75">
      <c r="C746" s="6"/>
    </row>
    <row r="747" spans="3:3" ht="12.75">
      <c r="C747" s="6"/>
    </row>
    <row r="748" spans="3:3" ht="12.75">
      <c r="C748" s="6"/>
    </row>
    <row r="749" spans="3:3" ht="12.75">
      <c r="C749" s="6"/>
    </row>
    <row r="750" spans="3:3" ht="12.75">
      <c r="C750" s="6"/>
    </row>
    <row r="751" spans="3:3" ht="12.75">
      <c r="C751" s="6"/>
    </row>
    <row r="752" spans="3:3" ht="12.75">
      <c r="C752" s="6"/>
    </row>
    <row r="753" spans="3:3" ht="12.75">
      <c r="C753" s="6"/>
    </row>
    <row r="754" spans="3:3" ht="12.75">
      <c r="C754" s="6"/>
    </row>
    <row r="755" spans="3:3" ht="12.75">
      <c r="C755" s="6"/>
    </row>
    <row r="756" spans="3:3" ht="12.75">
      <c r="C756" s="6"/>
    </row>
    <row r="757" spans="3:3" ht="12.75">
      <c r="C757" s="6"/>
    </row>
    <row r="758" spans="3:3" ht="12.75">
      <c r="C758" s="6"/>
    </row>
    <row r="759" spans="3:3" ht="12.75">
      <c r="C759" s="6"/>
    </row>
    <row r="760" spans="3:3" ht="12.75">
      <c r="C760" s="6"/>
    </row>
    <row r="761" spans="3:3" ht="12.75">
      <c r="C761" s="6"/>
    </row>
    <row r="762" spans="3:3" ht="12.75">
      <c r="C762" s="6"/>
    </row>
    <row r="763" spans="3:3" ht="12.75">
      <c r="C763" s="6"/>
    </row>
    <row r="764" spans="3:3" ht="12.75">
      <c r="C764" s="6"/>
    </row>
    <row r="765" spans="3:3" ht="12.75">
      <c r="C765" s="6"/>
    </row>
    <row r="766" spans="3:3" ht="12.75">
      <c r="C766" s="6"/>
    </row>
    <row r="767" spans="3:3" ht="12.75">
      <c r="C767" s="6"/>
    </row>
    <row r="768" spans="3:3" ht="12.75">
      <c r="C768" s="6"/>
    </row>
    <row r="769" spans="3:3" ht="12.75">
      <c r="C769" s="6"/>
    </row>
    <row r="770" spans="3:3" ht="12.75">
      <c r="C770" s="6"/>
    </row>
    <row r="771" spans="3:3" ht="12.75">
      <c r="C771" s="6"/>
    </row>
    <row r="772" spans="3:3" ht="12.75">
      <c r="C772" s="6"/>
    </row>
    <row r="773" spans="3:3" ht="12.75">
      <c r="C773" s="6"/>
    </row>
    <row r="774" spans="3:3" ht="12.75">
      <c r="C774" s="6"/>
    </row>
    <row r="775" spans="3:3" ht="12.75">
      <c r="C775" s="6"/>
    </row>
    <row r="776" spans="3:3" ht="12.75">
      <c r="C776" s="6"/>
    </row>
    <row r="777" spans="3:3" ht="12.75">
      <c r="C777" s="6"/>
    </row>
    <row r="778" spans="3:3" ht="12.75">
      <c r="C778" s="6"/>
    </row>
    <row r="779" spans="3:3" ht="12.75">
      <c r="C779" s="6"/>
    </row>
    <row r="780" spans="3:3" ht="12.75">
      <c r="C780" s="6"/>
    </row>
    <row r="781" spans="3:3" ht="12.75">
      <c r="C781" s="6"/>
    </row>
    <row r="782" spans="3:3" ht="12.75">
      <c r="C782" s="6"/>
    </row>
    <row r="783" spans="3:3" ht="12.75">
      <c r="C783" s="6"/>
    </row>
    <row r="784" spans="3:3" ht="12.75">
      <c r="C784" s="6"/>
    </row>
    <row r="785" spans="3:3" ht="12.75">
      <c r="C785" s="6"/>
    </row>
    <row r="786" spans="3:3" ht="12.75">
      <c r="C786" s="6"/>
    </row>
    <row r="787" spans="3:3" ht="12.75">
      <c r="C787" s="6"/>
    </row>
    <row r="788" spans="3:3" ht="12.75">
      <c r="C788" s="6"/>
    </row>
    <row r="789" spans="3:3" ht="12.75">
      <c r="C789" s="6"/>
    </row>
    <row r="790" spans="3:3" ht="12.75">
      <c r="C790" s="6"/>
    </row>
    <row r="791" spans="3:3" ht="12.75">
      <c r="C791" s="6"/>
    </row>
    <row r="792" spans="3:3" ht="12.75">
      <c r="C792" s="6"/>
    </row>
    <row r="793" spans="3:3" ht="12.75">
      <c r="C793" s="6"/>
    </row>
    <row r="794" spans="3:3" ht="12.75">
      <c r="C794" s="6"/>
    </row>
    <row r="795" spans="3:3" ht="12.75">
      <c r="C795" s="6"/>
    </row>
    <row r="796" spans="3:3" ht="12.75">
      <c r="C796" s="6"/>
    </row>
    <row r="797" spans="3:3" ht="12.75">
      <c r="C797" s="6"/>
    </row>
    <row r="798" spans="3:3" ht="12.75">
      <c r="C798" s="6"/>
    </row>
    <row r="799" spans="3:3" ht="12.75">
      <c r="C799" s="6"/>
    </row>
    <row r="800" spans="3:3" ht="12.75">
      <c r="C800" s="6"/>
    </row>
    <row r="801" spans="3:3" ht="12.75">
      <c r="C801" s="6"/>
    </row>
    <row r="802" spans="3:3" ht="12.75">
      <c r="C802" s="6"/>
    </row>
    <row r="803" spans="3:3" ht="12.75">
      <c r="C803" s="6"/>
    </row>
    <row r="804" spans="3:3" ht="12.75">
      <c r="C804" s="6"/>
    </row>
    <row r="805" spans="3:3" ht="12.75">
      <c r="C805" s="6"/>
    </row>
    <row r="806" spans="3:3" ht="12.75">
      <c r="C806" s="6"/>
    </row>
    <row r="807" spans="3:3" ht="12.75">
      <c r="C807" s="6"/>
    </row>
    <row r="808" spans="3:3" ht="12.75">
      <c r="C808" s="6"/>
    </row>
    <row r="809" spans="3:3" ht="12.75">
      <c r="C809" s="6"/>
    </row>
    <row r="810" spans="3:3" ht="12.75">
      <c r="C810" s="6"/>
    </row>
    <row r="811" spans="3:3" ht="12.75">
      <c r="C811" s="6"/>
    </row>
    <row r="812" spans="3:3" ht="12.75">
      <c r="C812" s="6"/>
    </row>
    <row r="813" spans="3:3" ht="12.75">
      <c r="C813" s="6"/>
    </row>
    <row r="814" spans="3:3" ht="12.75">
      <c r="C814" s="6"/>
    </row>
    <row r="815" spans="3:3" ht="12.75">
      <c r="C815" s="6"/>
    </row>
    <row r="816" spans="3:3" ht="12.75">
      <c r="C816" s="6"/>
    </row>
    <row r="817" spans="3:3" ht="12.75">
      <c r="C817" s="6"/>
    </row>
    <row r="818" spans="3:3" ht="12.75">
      <c r="C818" s="6"/>
    </row>
    <row r="819" spans="3:3" ht="12.75">
      <c r="C819" s="6"/>
    </row>
    <row r="820" spans="3:3" ht="12.75">
      <c r="C820" s="6"/>
    </row>
    <row r="821" spans="3:3" ht="12.75">
      <c r="C821" s="6"/>
    </row>
    <row r="822" spans="3:3" ht="12.75">
      <c r="C822" s="6"/>
    </row>
    <row r="823" spans="3:3" ht="12.75">
      <c r="C823" s="6"/>
    </row>
    <row r="824" spans="3:3" ht="12.75">
      <c r="C824" s="6"/>
    </row>
    <row r="825" spans="3:3" ht="12.75">
      <c r="C825" s="6"/>
    </row>
    <row r="826" spans="3:3" ht="12.75">
      <c r="C826" s="6"/>
    </row>
    <row r="827" spans="3:3" ht="12.75">
      <c r="C827" s="6"/>
    </row>
    <row r="828" spans="3:3" ht="12.75">
      <c r="C828" s="6"/>
    </row>
    <row r="829" spans="3:3" ht="12.75">
      <c r="C829" s="6"/>
    </row>
    <row r="830" spans="3:3" ht="12.75">
      <c r="C830" s="6"/>
    </row>
    <row r="831" spans="3:3" ht="12.75">
      <c r="C831" s="6"/>
    </row>
    <row r="832" spans="3:3" ht="12.75">
      <c r="C832" s="6"/>
    </row>
    <row r="833" spans="3:3" ht="12.75">
      <c r="C833" s="6"/>
    </row>
    <row r="834" spans="3:3" ht="12.75">
      <c r="C834" s="6"/>
    </row>
    <row r="835" spans="3:3" ht="12.75">
      <c r="C835" s="6"/>
    </row>
    <row r="836" spans="3:3" ht="12.75">
      <c r="C836" s="6"/>
    </row>
    <row r="837" spans="3:3" ht="12.75">
      <c r="C837" s="6"/>
    </row>
    <row r="838" spans="3:3" ht="12.75">
      <c r="C838" s="6"/>
    </row>
    <row r="839" spans="3:3" ht="12.75">
      <c r="C839" s="6"/>
    </row>
    <row r="840" spans="3:3" ht="12.75">
      <c r="C840" s="6"/>
    </row>
    <row r="841" spans="3:3" ht="12.75">
      <c r="C841" s="6"/>
    </row>
    <row r="842" spans="3:3" ht="12.75">
      <c r="C842" s="6"/>
    </row>
    <row r="843" spans="3:3" ht="12.75">
      <c r="C843" s="6"/>
    </row>
    <row r="844" spans="3:3" ht="12.75">
      <c r="C844" s="6"/>
    </row>
    <row r="845" spans="3:3" ht="12.75">
      <c r="C845" s="6"/>
    </row>
    <row r="846" spans="3:3" ht="12.75">
      <c r="C846" s="6"/>
    </row>
    <row r="847" spans="3:3" ht="12.75">
      <c r="C847" s="6"/>
    </row>
    <row r="848" spans="3:3" ht="12.75">
      <c r="C848" s="6"/>
    </row>
    <row r="849" spans="3:3" ht="12.75">
      <c r="C849" s="6"/>
    </row>
    <row r="850" spans="3:3" ht="12.75">
      <c r="C850" s="6"/>
    </row>
    <row r="851" spans="3:3" ht="12.75">
      <c r="C851" s="6"/>
    </row>
    <row r="852" spans="3:3" ht="12.75">
      <c r="C852" s="6"/>
    </row>
    <row r="853" spans="3:3" ht="12.75">
      <c r="C853" s="6"/>
    </row>
    <row r="854" spans="3:3" ht="12.75">
      <c r="C854" s="6"/>
    </row>
    <row r="855" spans="3:3" ht="12.75">
      <c r="C855" s="6"/>
    </row>
    <row r="856" spans="3:3" ht="12.75">
      <c r="C856" s="6"/>
    </row>
    <row r="857" spans="3:3" ht="12.75">
      <c r="C857" s="6"/>
    </row>
    <row r="858" spans="3:3" ht="12.75">
      <c r="C858" s="6"/>
    </row>
    <row r="859" spans="3:3" ht="12.75">
      <c r="C859" s="6"/>
    </row>
    <row r="860" spans="3:3" ht="12.75">
      <c r="C860" s="6"/>
    </row>
    <row r="861" spans="3:3" ht="12.75">
      <c r="C861" s="6"/>
    </row>
    <row r="862" spans="3:3" ht="12.75">
      <c r="C862" s="6"/>
    </row>
    <row r="863" spans="3:3" ht="12.75">
      <c r="C863" s="6"/>
    </row>
    <row r="864" spans="3:3" ht="12.75">
      <c r="C864" s="6"/>
    </row>
    <row r="865" spans="3:3" ht="12.75">
      <c r="C865" s="6"/>
    </row>
    <row r="866" spans="3:3" ht="12.75">
      <c r="C866" s="6"/>
    </row>
    <row r="867" spans="3:3" ht="12.75">
      <c r="C867" s="6"/>
    </row>
    <row r="868" spans="3:3" ht="12.75">
      <c r="C868" s="6"/>
    </row>
    <row r="869" spans="3:3" ht="12.75">
      <c r="C869" s="6"/>
    </row>
    <row r="870" spans="3:3" ht="12.75">
      <c r="C870" s="6"/>
    </row>
    <row r="871" spans="3:3" ht="12.75">
      <c r="C871" s="6"/>
    </row>
    <row r="872" spans="3:3" ht="12.75">
      <c r="C872" s="6"/>
    </row>
    <row r="873" spans="3:3" ht="12.75">
      <c r="C873" s="6"/>
    </row>
    <row r="874" spans="3:3" ht="12.75">
      <c r="C874" s="6"/>
    </row>
    <row r="875" spans="3:3" ht="12.75">
      <c r="C875" s="6"/>
    </row>
    <row r="876" spans="3:3" ht="12.75">
      <c r="C876" s="6"/>
    </row>
    <row r="877" spans="3:3" ht="12.75">
      <c r="C877" s="6"/>
    </row>
    <row r="878" spans="3:3" ht="12.75">
      <c r="C878" s="6"/>
    </row>
    <row r="879" spans="3:3" ht="12.75">
      <c r="C879" s="6"/>
    </row>
    <row r="880" spans="3:3" ht="12.75">
      <c r="C880" s="6"/>
    </row>
    <row r="881" spans="3:3" ht="12.75">
      <c r="C881" s="6"/>
    </row>
    <row r="882" spans="3:3" ht="12.75">
      <c r="C882" s="6"/>
    </row>
    <row r="883" spans="3:3" ht="12.75">
      <c r="C883" s="6"/>
    </row>
    <row r="884" spans="3:3" ht="12.75">
      <c r="C884" s="6"/>
    </row>
    <row r="885" spans="3:3" ht="12.75">
      <c r="C885" s="6"/>
    </row>
    <row r="886" spans="3:3" ht="12.75">
      <c r="C886" s="6"/>
    </row>
    <row r="887" spans="3:3" ht="12.75">
      <c r="C887" s="6"/>
    </row>
    <row r="888" spans="3:3" ht="12.75">
      <c r="C888" s="6"/>
    </row>
    <row r="889" spans="3:3" ht="12.75">
      <c r="C889" s="6"/>
    </row>
    <row r="890" spans="3:3" ht="12.75">
      <c r="C890" s="6"/>
    </row>
    <row r="891" spans="3:3" ht="12.75">
      <c r="C891" s="6"/>
    </row>
    <row r="892" spans="3:3" ht="12.75">
      <c r="C892" s="6"/>
    </row>
    <row r="893" spans="3:3" ht="12.75">
      <c r="C893" s="6"/>
    </row>
    <row r="894" spans="3:3" ht="12.75">
      <c r="C894" s="6"/>
    </row>
    <row r="895" spans="3:3" ht="12.75">
      <c r="C895" s="6"/>
    </row>
    <row r="896" spans="3:3" ht="12.75">
      <c r="C896" s="6"/>
    </row>
    <row r="897" spans="3:3" ht="12.75">
      <c r="C897" s="6"/>
    </row>
    <row r="898" spans="3:3" ht="12.75">
      <c r="C898" s="6"/>
    </row>
    <row r="899" spans="3:3" ht="12.75">
      <c r="C899" s="6"/>
    </row>
    <row r="900" spans="3:3" ht="12.75">
      <c r="C900" s="6"/>
    </row>
    <row r="901" spans="3:3" ht="12.75">
      <c r="C901" s="6"/>
    </row>
    <row r="902" spans="3:3" ht="12.75">
      <c r="C902" s="6"/>
    </row>
    <row r="903" spans="3:3" ht="12.75">
      <c r="C903" s="6"/>
    </row>
    <row r="904" spans="3:3" ht="12.75">
      <c r="C904" s="6"/>
    </row>
    <row r="905" spans="3:3" ht="12.75">
      <c r="C905" s="6"/>
    </row>
    <row r="906" spans="3:3" ht="12.75">
      <c r="C906" s="6"/>
    </row>
    <row r="907" spans="3:3" ht="12.75">
      <c r="C907" s="6"/>
    </row>
    <row r="908" spans="3:3" ht="12.75">
      <c r="C908" s="6"/>
    </row>
    <row r="909" spans="3:3" ht="12.75">
      <c r="C909" s="6"/>
    </row>
    <row r="910" spans="3:3" ht="12.75">
      <c r="C910" s="6"/>
    </row>
    <row r="911" spans="3:3" ht="12.75">
      <c r="C911" s="6"/>
    </row>
    <row r="912" spans="3:3" ht="12.75">
      <c r="C912" s="6"/>
    </row>
    <row r="913" spans="3:3" ht="12.75">
      <c r="C913" s="6"/>
    </row>
    <row r="914" spans="3:3" ht="12.75">
      <c r="C914" s="6"/>
    </row>
    <row r="915" spans="3:3" ht="12.75">
      <c r="C915" s="6"/>
    </row>
    <row r="916" spans="3:3" ht="12.75">
      <c r="C916" s="6"/>
    </row>
    <row r="917" spans="3:3" ht="12.75">
      <c r="C917" s="6"/>
    </row>
    <row r="918" spans="3:3" ht="12.75">
      <c r="C918" s="6"/>
    </row>
    <row r="919" spans="3:3" ht="12.75">
      <c r="C919" s="6"/>
    </row>
    <row r="920" spans="3:3" ht="12.75">
      <c r="C920" s="6"/>
    </row>
    <row r="921" spans="3:3" ht="12.75">
      <c r="C921" s="6"/>
    </row>
    <row r="922" spans="3:3" ht="12.75">
      <c r="C922" s="6"/>
    </row>
    <row r="923" spans="3:3" ht="12.75">
      <c r="C923" s="6"/>
    </row>
    <row r="924" spans="3:3" ht="12.75">
      <c r="C924" s="6"/>
    </row>
    <row r="925" spans="3:3" ht="12.75">
      <c r="C925" s="6"/>
    </row>
    <row r="926" spans="3:3" ht="12.75">
      <c r="C926" s="6"/>
    </row>
    <row r="927" spans="3:3" ht="12.75">
      <c r="C927" s="6"/>
    </row>
    <row r="928" spans="3:3" ht="12.75">
      <c r="C928" s="6"/>
    </row>
    <row r="929" spans="3:3" ht="12.75">
      <c r="C929" s="6"/>
    </row>
    <row r="930" spans="3:3" ht="12.75">
      <c r="C930" s="6"/>
    </row>
    <row r="931" spans="3:3" ht="12.75">
      <c r="C931" s="6"/>
    </row>
    <row r="932" spans="3:3" ht="12.75">
      <c r="C932" s="6"/>
    </row>
    <row r="933" spans="3:3" ht="12.75">
      <c r="C933" s="6"/>
    </row>
    <row r="934" spans="3:3" ht="12.75">
      <c r="C934" s="6"/>
    </row>
    <row r="935" spans="3:3" ht="12.75">
      <c r="C935" s="6"/>
    </row>
    <row r="936" spans="3:3" ht="12.75">
      <c r="C936" s="6"/>
    </row>
    <row r="937" spans="3:3" ht="12.75">
      <c r="C937" s="6"/>
    </row>
    <row r="938" spans="3:3" ht="12.75">
      <c r="C938" s="6"/>
    </row>
    <row r="939" spans="3:3" ht="12.75">
      <c r="C939" s="6"/>
    </row>
    <row r="940" spans="3:3" ht="12.75">
      <c r="C940" s="6"/>
    </row>
    <row r="941" spans="3:3" ht="12.75">
      <c r="C941" s="6"/>
    </row>
    <row r="942" spans="3:3" ht="12.75">
      <c r="C942" s="6"/>
    </row>
    <row r="943" spans="3:3" ht="12.75">
      <c r="C943" s="6"/>
    </row>
    <row r="944" spans="3:3" ht="12.75">
      <c r="C944" s="6"/>
    </row>
    <row r="945" spans="3:3" ht="12.75">
      <c r="C945" s="6"/>
    </row>
    <row r="946" spans="3:3" ht="12.75">
      <c r="C946" s="6"/>
    </row>
    <row r="947" spans="3:3" ht="12.75">
      <c r="C947" s="6"/>
    </row>
    <row r="948" spans="3:3" ht="12.75">
      <c r="C948" s="6"/>
    </row>
    <row r="949" spans="3:3" ht="12.75">
      <c r="C949" s="6"/>
    </row>
    <row r="950" spans="3:3" ht="12.75">
      <c r="C950" s="6"/>
    </row>
    <row r="951" spans="3:3" ht="12.75">
      <c r="C951" s="6"/>
    </row>
    <row r="952" spans="3:3" ht="12.75">
      <c r="C952" s="6"/>
    </row>
    <row r="953" spans="3:3" ht="12.75">
      <c r="C953" s="6"/>
    </row>
    <row r="954" spans="3:3" ht="12.75">
      <c r="C954" s="6"/>
    </row>
    <row r="955" spans="3:3" ht="12.75">
      <c r="C955" s="6"/>
    </row>
    <row r="956" spans="3:3" ht="12.75">
      <c r="C956" s="6"/>
    </row>
    <row r="957" spans="3:3" ht="12.75">
      <c r="C957" s="6"/>
    </row>
    <row r="958" spans="3:3" ht="12.75">
      <c r="C958" s="6"/>
    </row>
    <row r="959" spans="3:3" ht="12.75">
      <c r="C959" s="6"/>
    </row>
    <row r="960" spans="3:3" ht="12.75">
      <c r="C960" s="6"/>
    </row>
    <row r="961" spans="3:3" ht="12.75">
      <c r="C961" s="6"/>
    </row>
    <row r="962" spans="3:3" ht="12.75">
      <c r="C962" s="6"/>
    </row>
    <row r="963" spans="3:3" ht="12.75">
      <c r="C963" s="6"/>
    </row>
    <row r="964" spans="3:3" ht="12.75">
      <c r="C964" s="6"/>
    </row>
    <row r="965" spans="3:3" ht="12.75">
      <c r="C965" s="6"/>
    </row>
    <row r="966" spans="3:3" ht="12.75">
      <c r="C966" s="6"/>
    </row>
    <row r="967" spans="3:3" ht="12.75">
      <c r="C967" s="6"/>
    </row>
    <row r="968" spans="3:3" ht="12.75">
      <c r="C968" s="6"/>
    </row>
    <row r="969" spans="3:3" ht="12.75">
      <c r="C969" s="6"/>
    </row>
    <row r="970" spans="3:3" ht="12.75">
      <c r="C970" s="6"/>
    </row>
    <row r="971" spans="3:3" ht="12.75">
      <c r="C971" s="6"/>
    </row>
    <row r="972" spans="3:3" ht="12.75">
      <c r="C972" s="6"/>
    </row>
    <row r="973" spans="3:3" ht="12.75">
      <c r="C973" s="6"/>
    </row>
    <row r="974" spans="3:3" ht="12.75">
      <c r="C974" s="6"/>
    </row>
    <row r="975" spans="3:3" ht="12.75">
      <c r="C975" s="6"/>
    </row>
    <row r="976" spans="3:3" ht="12.75">
      <c r="C976" s="6"/>
    </row>
    <row r="977" spans="3:3" ht="12.75">
      <c r="C977" s="6"/>
    </row>
    <row r="978" spans="3:3" ht="12.75">
      <c r="C978" s="6"/>
    </row>
    <row r="979" spans="3:3" ht="12.75">
      <c r="C979" s="6"/>
    </row>
    <row r="980" spans="3:3" ht="12.75">
      <c r="C980" s="6"/>
    </row>
    <row r="981" spans="3:3" ht="12.75">
      <c r="C981" s="6"/>
    </row>
    <row r="982" spans="3:3" ht="12.75">
      <c r="C982" s="6"/>
    </row>
    <row r="983" spans="3:3" ht="12.75">
      <c r="C983" s="6"/>
    </row>
    <row r="984" spans="3:3" ht="12.75">
      <c r="C984" s="6"/>
    </row>
    <row r="985" spans="3:3" ht="12.75">
      <c r="C985" s="6"/>
    </row>
    <row r="986" spans="3:3" ht="12.75">
      <c r="C986" s="6"/>
    </row>
    <row r="987" spans="3:3" ht="12.75">
      <c r="C987" s="6"/>
    </row>
    <row r="988" spans="3:3" ht="12.75">
      <c r="C988" s="6"/>
    </row>
    <row r="989" spans="3:3" ht="12.75">
      <c r="C989" s="6"/>
    </row>
    <row r="990" spans="3:3" ht="12.75">
      <c r="C990" s="6"/>
    </row>
    <row r="991" spans="3:3" ht="12.75">
      <c r="C991" s="6"/>
    </row>
    <row r="992" spans="3:3" ht="12.75">
      <c r="C992" s="6"/>
    </row>
    <row r="993" spans="3:3" ht="12.75">
      <c r="C993" s="6"/>
    </row>
    <row r="994" spans="3:3" ht="12.75">
      <c r="C994" s="6"/>
    </row>
    <row r="995" spans="3:3" ht="12.75">
      <c r="C995" s="6"/>
    </row>
    <row r="996" spans="3:3" ht="12.75">
      <c r="C996" s="6"/>
    </row>
    <row r="997" spans="3:3" ht="12.75">
      <c r="C997" s="6"/>
    </row>
    <row r="998" spans="3:3" ht="12.75">
      <c r="C998" s="6"/>
    </row>
    <row r="999" spans="3:3" ht="12.75">
      <c r="C999" s="6"/>
    </row>
    <row r="1000" spans="3:3" ht="12.75">
      <c r="C1000" s="6"/>
    </row>
    <row r="1001" spans="3:3" ht="12.75">
      <c r="C1001" s="6"/>
    </row>
    <row r="1002" spans="3:3" ht="12.75">
      <c r="C1002" s="6"/>
    </row>
    <row r="1003" spans="3:3" ht="12.75">
      <c r="C1003" s="6"/>
    </row>
    <row r="1004" spans="3:3" ht="12.75">
      <c r="C1004" s="6"/>
    </row>
    <row r="1005" spans="3:3" ht="12.75">
      <c r="C1005" s="6"/>
    </row>
    <row r="1006" spans="3:3" ht="12.75">
      <c r="C1006" s="6"/>
    </row>
    <row r="1007" spans="3:3" ht="12.75">
      <c r="C1007" s="6"/>
    </row>
    <row r="1008" spans="3:3" ht="12.75">
      <c r="C1008" s="6"/>
    </row>
    <row r="1009" spans="3:3" ht="12.75">
      <c r="C1009" s="6"/>
    </row>
    <row r="1010" spans="3:3" ht="12.75">
      <c r="C1010" s="6"/>
    </row>
    <row r="1011" spans="3:3" ht="12.75">
      <c r="C1011" s="6"/>
    </row>
  </sheetData>
  <dataValidations count="2">
    <dataValidation type="list" allowBlank="1" sqref="F4:F23" xr:uid="{00000000-0002-0000-0100-000000000000}">
      <formula1>"oui,non"</formula1>
    </dataValidation>
    <dataValidation type="custom" allowBlank="1" showDropDown="1" sqref="C4:C23" xr:uid="{00000000-0002-0000-0100-000001000000}">
      <formula1>AND(ISNUMBER(C4),(NOT(OR(NOT(ISERROR(DATEVALUE(C4))), AND(ISNUMBER(C4), LEFT(CELL("format", C4))="D")))))</formula1>
    </dataValidation>
  </dataValidations>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B1:M14"/>
  <sheetViews>
    <sheetView workbookViewId="0"/>
  </sheetViews>
  <sheetFormatPr baseColWidth="10" defaultColWidth="12.5703125" defaultRowHeight="15.75" customHeight="1"/>
  <cols>
    <col min="2" max="2" width="7.42578125" customWidth="1"/>
    <col min="3" max="3" width="67.140625" customWidth="1"/>
    <col min="4" max="4" width="9.5703125" customWidth="1"/>
    <col min="5" max="5" width="17.85546875" customWidth="1"/>
    <col min="6" max="6" width="17.5703125" customWidth="1"/>
    <col min="7" max="7" width="18.42578125" customWidth="1"/>
    <col min="11" max="11" width="14.42578125" customWidth="1"/>
    <col min="12" max="12" width="13.140625" customWidth="1"/>
    <col min="13" max="13" width="10.7109375" customWidth="1"/>
  </cols>
  <sheetData>
    <row r="1" spans="2:13" ht="15">
      <c r="B1" s="5"/>
      <c r="C1" s="21"/>
      <c r="D1" s="5"/>
      <c r="E1" s="5"/>
      <c r="F1" s="5"/>
      <c r="G1" s="5"/>
      <c r="H1" s="5"/>
      <c r="I1" s="5"/>
      <c r="J1" s="5"/>
      <c r="K1" s="49" t="s">
        <v>47</v>
      </c>
      <c r="L1" s="50"/>
      <c r="M1" s="50"/>
    </row>
    <row r="2" spans="2:13" ht="22.5" customHeight="1">
      <c r="B2" s="8" t="s">
        <v>48</v>
      </c>
      <c r="C2" s="22" t="s">
        <v>49</v>
      </c>
      <c r="D2" s="8" t="s">
        <v>19</v>
      </c>
      <c r="E2" s="8" t="s">
        <v>20</v>
      </c>
      <c r="F2" s="8" t="s">
        <v>50</v>
      </c>
      <c r="G2" s="8" t="s">
        <v>51</v>
      </c>
      <c r="H2" s="23"/>
      <c r="I2" s="23"/>
      <c r="J2" s="24"/>
      <c r="K2" s="24" t="s">
        <v>20</v>
      </c>
      <c r="L2" s="24" t="s">
        <v>50</v>
      </c>
      <c r="M2" s="24" t="s">
        <v>51</v>
      </c>
    </row>
    <row r="3" spans="2:13" ht="22.5" customHeight="1">
      <c r="B3" s="25">
        <v>1.1000000000000001</v>
      </c>
      <c r="C3" s="26" t="s">
        <v>52</v>
      </c>
      <c r="D3" s="27" t="s">
        <v>53</v>
      </c>
      <c r="E3" s="28">
        <v>1</v>
      </c>
      <c r="F3" s="29">
        <v>21200</v>
      </c>
      <c r="G3" s="30">
        <f t="shared" ref="G3:G7" si="0">F3*E3</f>
        <v>21200</v>
      </c>
      <c r="H3" s="5"/>
      <c r="I3" s="5"/>
      <c r="J3" s="5"/>
      <c r="K3" s="31">
        <v>1</v>
      </c>
      <c r="L3" s="32">
        <v>19000</v>
      </c>
      <c r="M3" s="32">
        <f t="shared" ref="M3:M6" si="1">L3*K3</f>
        <v>19000</v>
      </c>
    </row>
    <row r="4" spans="2:13" ht="22.5" customHeight="1">
      <c r="B4" s="25">
        <v>1.2</v>
      </c>
      <c r="C4" s="26" t="s">
        <v>54</v>
      </c>
      <c r="D4" s="27" t="s">
        <v>53</v>
      </c>
      <c r="E4" s="28">
        <v>1</v>
      </c>
      <c r="F4" s="29">
        <v>1300</v>
      </c>
      <c r="G4" s="30">
        <f t="shared" si="0"/>
        <v>1300</v>
      </c>
      <c r="H4" s="5"/>
      <c r="I4" s="5"/>
      <c r="J4" s="5"/>
      <c r="K4" s="31">
        <v>1</v>
      </c>
      <c r="L4" s="32">
        <v>1000</v>
      </c>
      <c r="M4" s="32">
        <f t="shared" si="1"/>
        <v>1000</v>
      </c>
    </row>
    <row r="5" spans="2:13" ht="22.5" customHeight="1">
      <c r="B5" s="25">
        <v>1.3</v>
      </c>
      <c r="C5" s="26" t="s">
        <v>55</v>
      </c>
      <c r="D5" s="27" t="s">
        <v>38</v>
      </c>
      <c r="E5" s="28">
        <v>10</v>
      </c>
      <c r="F5" s="29">
        <v>155</v>
      </c>
      <c r="G5" s="30">
        <f t="shared" si="0"/>
        <v>1550</v>
      </c>
      <c r="H5" s="5"/>
      <c r="I5" s="5"/>
      <c r="J5" s="5"/>
      <c r="K5" s="31">
        <v>10</v>
      </c>
      <c r="L5" s="32">
        <v>104.25</v>
      </c>
      <c r="M5" s="32">
        <f t="shared" si="1"/>
        <v>1042.5</v>
      </c>
    </row>
    <row r="6" spans="2:13" ht="22.5" customHeight="1">
      <c r="B6" s="25">
        <v>2.2999999999999998</v>
      </c>
      <c r="C6" s="33" t="s">
        <v>56</v>
      </c>
      <c r="D6" s="27" t="s">
        <v>57</v>
      </c>
      <c r="E6" s="28">
        <v>4</v>
      </c>
      <c r="F6" s="29">
        <v>1165</v>
      </c>
      <c r="G6" s="30">
        <f t="shared" si="0"/>
        <v>4660</v>
      </c>
      <c r="H6" s="5"/>
      <c r="I6" s="5"/>
      <c r="J6" s="34"/>
      <c r="K6" s="31">
        <v>4</v>
      </c>
      <c r="L6" s="32">
        <v>625</v>
      </c>
      <c r="M6" s="32">
        <f t="shared" si="1"/>
        <v>2500</v>
      </c>
    </row>
    <row r="7" spans="2:13" ht="22.5" customHeight="1">
      <c r="B7" s="25">
        <v>2.5</v>
      </c>
      <c r="C7" s="26" t="s">
        <v>58</v>
      </c>
      <c r="D7" s="35" t="s">
        <v>57</v>
      </c>
      <c r="E7" s="36">
        <v>1</v>
      </c>
      <c r="F7" s="29">
        <v>3150</v>
      </c>
      <c r="G7" s="30">
        <f t="shared" si="0"/>
        <v>3150</v>
      </c>
      <c r="H7" s="5"/>
      <c r="I7" s="5"/>
      <c r="J7" s="37"/>
      <c r="K7" s="31">
        <v>1</v>
      </c>
      <c r="L7" s="32" t="s">
        <v>59</v>
      </c>
      <c r="M7" s="32">
        <v>2500</v>
      </c>
    </row>
    <row r="8" spans="2:13" ht="22.5" customHeight="1">
      <c r="B8" s="38"/>
      <c r="C8" s="39"/>
      <c r="D8" s="38"/>
      <c r="E8" s="38"/>
      <c r="F8" s="40" t="s">
        <v>60</v>
      </c>
      <c r="G8" s="41">
        <f>SUM(G3:G7)</f>
        <v>31860</v>
      </c>
      <c r="H8" s="5"/>
      <c r="I8" s="5"/>
      <c r="J8" s="5"/>
      <c r="K8" s="5"/>
      <c r="L8" s="42" t="s">
        <v>60</v>
      </c>
      <c r="M8" s="43">
        <f>SUM(M3:M7)</f>
        <v>26042.5</v>
      </c>
    </row>
    <row r="9" spans="2:13" ht="22.5" customHeight="1">
      <c r="B9" s="38"/>
      <c r="C9" s="39"/>
      <c r="D9" s="38"/>
      <c r="E9" s="38"/>
      <c r="F9" s="40" t="s">
        <v>61</v>
      </c>
      <c r="G9" s="30">
        <f>G8*0.19</f>
        <v>6053.4</v>
      </c>
      <c r="H9" s="5"/>
      <c r="I9" s="5"/>
      <c r="J9" s="5"/>
      <c r="K9" s="5"/>
      <c r="L9" s="5"/>
      <c r="M9" s="5"/>
    </row>
    <row r="10" spans="2:13" ht="22.5" customHeight="1">
      <c r="B10" s="38"/>
      <c r="C10" s="39"/>
      <c r="D10" s="38"/>
      <c r="E10" s="38"/>
      <c r="F10" s="40" t="s">
        <v>62</v>
      </c>
      <c r="G10" s="30">
        <f>0.6</f>
        <v>0.6</v>
      </c>
      <c r="H10" s="5"/>
      <c r="I10" s="5"/>
      <c r="J10" s="5"/>
      <c r="K10" s="5"/>
      <c r="L10" s="5"/>
      <c r="M10" s="5"/>
    </row>
    <row r="11" spans="2:13" ht="22.5" customHeight="1">
      <c r="B11" s="38"/>
      <c r="C11" s="39"/>
      <c r="D11" s="38"/>
      <c r="E11" s="38"/>
      <c r="F11" s="40" t="s">
        <v>63</v>
      </c>
      <c r="G11" s="41">
        <f>+SUM(G8:G10)</f>
        <v>37914</v>
      </c>
      <c r="H11" s="5"/>
      <c r="I11" s="5"/>
      <c r="J11" s="5"/>
      <c r="K11" s="5"/>
      <c r="L11" s="5"/>
      <c r="M11" s="44"/>
    </row>
    <row r="14" spans="2:13" ht="12.75">
      <c r="E14" s="20">
        <f>G8-18000-4000</f>
        <v>9860</v>
      </c>
    </row>
  </sheetData>
  <mergeCells count="1">
    <mergeCell ref="K1:M1"/>
  </mergeCells>
  <dataValidations count="1">
    <dataValidation type="custom" allowBlank="1" showDropDown="1" sqref="G3:G11" xr:uid="{00000000-0002-0000-0200-000000000000}">
      <formula1>AND(ISNUMBER(G3),(NOT(OR(NOT(ISERROR(DATEVALUE(G3))), AND(ISNUMBER(G3), LEFT(CELL("format", G3))="D")))))</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suivi chantier</vt:lpstr>
      <vt:lpstr>estimation devis</vt:lpstr>
      <vt:lpstr>Devis actuel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modified xsi:type="dcterms:W3CDTF">2026-04-13T10:48:54Z</dcterms:modified>
</cp:coreProperties>
</file>